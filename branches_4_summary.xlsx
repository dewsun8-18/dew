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ร้าน\"/>
    </mc:Choice>
  </mc:AlternateContent>
  <xr:revisionPtr revIDLastSave="0" documentId="13_ncr:1_{657439B9-B9BF-45A8-B59A-E4023917F16B}" xr6:coauthVersionLast="47" xr6:coauthVersionMax="47" xr10:uidLastSave="{00000000-0000-0000-0000-000000000000}"/>
  <bookViews>
    <workbookView xWindow="-110" yWindow="-110" windowWidth="20940" windowHeight="14020" firstSheet="2" activeTab="5" xr2:uid="{107E54F4-8403-47BA-9EEE-1006BFE8CC07}"/>
  </bookViews>
  <sheets>
    <sheet name="สรุปภาพรวม" sheetId="1" r:id="rId1"/>
    <sheet name="รายรับรายจ่ายรายวัน_ก.ย.69" sheetId="2" r:id="rId2"/>
    <sheet name="ประวัติย้อนหลัง_สาขา4" sheetId="3" r:id="rId3"/>
    <sheet name="ประวัติย้อนหลัง_สาขา3" sheetId="4" r:id="rId4"/>
    <sheet name="ประวัติย้อนหลัง_สาขา1" sheetId="5" r:id="rId5"/>
    <sheet name="สรุปรวมปี_2569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6" l="1"/>
  <c r="I24" i="6"/>
  <c r="H24" i="6"/>
  <c r="G24" i="6"/>
  <c r="F24" i="6"/>
  <c r="E24" i="6"/>
  <c r="D24" i="6"/>
  <c r="C24" i="6"/>
  <c r="J23" i="6"/>
  <c r="I23" i="6"/>
  <c r="H23" i="6"/>
  <c r="G23" i="6"/>
  <c r="F23" i="6"/>
  <c r="E23" i="6"/>
  <c r="D23" i="6"/>
  <c r="C23" i="6"/>
  <c r="J22" i="6"/>
  <c r="I22" i="6"/>
  <c r="G22" i="6"/>
  <c r="J21" i="6"/>
  <c r="I21" i="6"/>
  <c r="G21" i="6"/>
  <c r="J20" i="6"/>
  <c r="I20" i="6"/>
  <c r="G20" i="6"/>
  <c r="J19" i="6"/>
  <c r="I19" i="6"/>
  <c r="G19" i="6"/>
  <c r="J18" i="6"/>
  <c r="I18" i="6"/>
  <c r="G18" i="6"/>
  <c r="J17" i="6"/>
  <c r="I17" i="6"/>
  <c r="G17" i="6"/>
  <c r="J16" i="6"/>
  <c r="I16" i="6"/>
  <c r="G16" i="6"/>
  <c r="J15" i="6"/>
  <c r="I15" i="6"/>
  <c r="G15" i="6"/>
  <c r="J14" i="6"/>
  <c r="I14" i="6"/>
  <c r="G14" i="6"/>
  <c r="J10" i="6"/>
  <c r="I10" i="6"/>
  <c r="H10" i="6"/>
  <c r="G10" i="6"/>
  <c r="F10" i="6"/>
  <c r="E10" i="6"/>
  <c r="D10" i="6"/>
  <c r="C10" i="6"/>
  <c r="J9" i="6"/>
  <c r="I9" i="6"/>
  <c r="H9" i="6"/>
  <c r="E9" i="6"/>
  <c r="J8" i="6"/>
  <c r="I8" i="6"/>
  <c r="H8" i="6"/>
  <c r="E8" i="6"/>
  <c r="J7" i="6"/>
  <c r="I7" i="6"/>
  <c r="H7" i="6"/>
  <c r="E7" i="6"/>
  <c r="J6" i="6"/>
  <c r="I6" i="6"/>
  <c r="H6" i="6"/>
  <c r="E6" i="6"/>
  <c r="H14" i="5"/>
  <c r="G14" i="5"/>
  <c r="F14" i="5"/>
  <c r="E14" i="5"/>
  <c r="D14" i="5"/>
  <c r="H13" i="5"/>
  <c r="G13" i="5"/>
  <c r="F13" i="5"/>
  <c r="E13" i="5"/>
  <c r="D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H14" i="4"/>
  <c r="G14" i="4"/>
  <c r="F14" i="4"/>
  <c r="E14" i="4"/>
  <c r="D14" i="4"/>
  <c r="H13" i="4"/>
  <c r="G13" i="4"/>
  <c r="F13" i="4"/>
  <c r="E13" i="4"/>
  <c r="D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H11" i="3"/>
  <c r="G11" i="3"/>
  <c r="F11" i="3"/>
  <c r="E11" i="3"/>
  <c r="D11" i="3"/>
  <c r="C11" i="3"/>
  <c r="H10" i="3"/>
  <c r="H9" i="3"/>
  <c r="H8" i="3"/>
  <c r="H7" i="3"/>
  <c r="H6" i="3"/>
  <c r="H5" i="3"/>
  <c r="H4" i="3"/>
  <c r="L21" i="2"/>
  <c r="K21" i="2"/>
  <c r="J21" i="2"/>
  <c r="I21" i="2"/>
  <c r="H21" i="2"/>
  <c r="G21" i="2"/>
  <c r="F21" i="2"/>
  <c r="E21" i="2"/>
  <c r="D21" i="2"/>
  <c r="C21" i="2"/>
  <c r="B21" i="2"/>
  <c r="L20" i="2"/>
  <c r="K20" i="2"/>
  <c r="F20" i="2"/>
  <c r="L19" i="2"/>
  <c r="K19" i="2"/>
  <c r="F19" i="2"/>
  <c r="L18" i="2"/>
  <c r="K18" i="2"/>
  <c r="F18" i="2"/>
  <c r="L17" i="2"/>
  <c r="K17" i="2"/>
  <c r="F17" i="2"/>
  <c r="L16" i="2"/>
  <c r="K16" i="2"/>
  <c r="F16" i="2"/>
  <c r="L15" i="2"/>
  <c r="K15" i="2"/>
  <c r="F15" i="2"/>
  <c r="L14" i="2"/>
  <c r="K14" i="2"/>
  <c r="F14" i="2"/>
  <c r="L13" i="2"/>
  <c r="K13" i="2"/>
  <c r="F13" i="2"/>
  <c r="L12" i="2"/>
  <c r="K12" i="2"/>
  <c r="F12" i="2"/>
  <c r="L11" i="2"/>
  <c r="K11" i="2"/>
  <c r="F11" i="2"/>
  <c r="L10" i="2"/>
  <c r="K10" i="2"/>
  <c r="F10" i="2"/>
  <c r="L9" i="2"/>
  <c r="K9" i="2"/>
  <c r="F9" i="2"/>
  <c r="L8" i="2"/>
  <c r="K8" i="2"/>
  <c r="F8" i="2"/>
  <c r="L7" i="2"/>
  <c r="K7" i="2"/>
  <c r="F7" i="2"/>
  <c r="L6" i="2"/>
  <c r="K6" i="2"/>
  <c r="F6" i="2"/>
  <c r="L5" i="2"/>
  <c r="K5" i="2"/>
  <c r="F5" i="2"/>
  <c r="L4" i="2"/>
  <c r="K4" i="2"/>
  <c r="F4" i="2"/>
  <c r="L3" i="2"/>
  <c r="K3" i="2"/>
  <c r="F3" i="2"/>
  <c r="L2" i="2"/>
  <c r="K2" i="2"/>
  <c r="F2" i="2"/>
  <c r="F8" i="1"/>
  <c r="E8" i="1"/>
  <c r="D8" i="1"/>
  <c r="C8" i="1"/>
  <c r="B8" i="1"/>
</calcChain>
</file>

<file path=xl/sharedStrings.xml><?xml version="1.0" encoding="utf-8"?>
<sst xmlns="http://schemas.openxmlformats.org/spreadsheetml/2006/main" count="216" uniqueCount="146">
  <si>
    <t>รายงานสรุปผลประกอบการ ร้านลูกชิ้น (19 วันแรก กันยายน 2569)</t>
  </si>
  <si>
    <t>สาขา</t>
  </si>
  <si>
    <t>รายรับจริง (บาท)</t>
  </si>
  <si>
    <t>รายจ่ายดำเนินงาน (บาท)</t>
  </si>
  <si>
    <t>กำไร/ขาดทุนดำเนินงาน (บาท)</t>
  </si>
  <si>
    <t>ค่าเช่าคงที่ (บาท/เดือน)</t>
  </si>
  <si>
    <t>กำไร/ขาดทุนสุทธิ (บาท)</t>
  </si>
  <si>
    <t>หมายเหตุ</t>
  </si>
  <si>
    <t>สาขา 1</t>
  </si>
  <si>
    <t>รวมถึง 19 ก.ย. (ค่าเช่า/ไฟ 5,000 บ./ด. หักวันที่ 4)</t>
  </si>
  <si>
    <t>สาขา 2</t>
  </si>
  <si>
    <t>รวมถึง 19 ก.ย. (ค่าเช่า 10,000 บ./3 เดือน เฉลี่ย 3,333.33 บ./ด.)</t>
  </si>
  <si>
    <t>สาขา 3</t>
  </si>
  <si>
    <t>รวมถึง 19 ก.ย. (ยอดขายสูงสุดอันดับ 1, ค่าเช่า 4,000 บ./ด.)</t>
  </si>
  <si>
    <t>สาขา 4</t>
  </si>
  <si>
    <t>รวมถึง 19 ก.ย. (มีค่าไฟเต่า 3,330 บ., เช่า 10,000 บ./3 เดือน เฉลี่ย 3,333.33 บ./ด.)</t>
  </si>
  <si>
    <t>รวมทั้ง 4 สาขา</t>
  </si>
  <si>
    <t>ค่าเช่าเฉลี่ยต่อเดือนรวม 15,666.67 บ.</t>
  </si>
  <si>
    <t>วันที่</t>
  </si>
  <si>
    <t>สาขา 1 (รับ)</t>
  </si>
  <si>
    <t>สาขา 2 (รับ)</t>
  </si>
  <si>
    <t>สาขา 3 (รับ)</t>
  </si>
  <si>
    <t>สาขา 4 (รับ)</t>
  </si>
  <si>
    <t>รวมรับทุกสาขา</t>
  </si>
  <si>
    <t>สาขา 1 (จ่าย)</t>
  </si>
  <si>
    <t>สาขา 2 (จ่าย)</t>
  </si>
  <si>
    <t>สาขา 3 (จ่าย)</t>
  </si>
  <si>
    <t>สาขา 4 (จ่าย)</t>
  </si>
  <si>
    <t>รวมจ่ายทุกสาขา</t>
  </si>
  <si>
    <t>กำไรสุทธิรวมวันนั้น</t>
  </si>
  <si>
    <t>วันที่ 1</t>
  </si>
  <si>
    <t>วันที่ 2</t>
  </si>
  <si>
    <t>วันที่ 3</t>
  </si>
  <si>
    <t>วันที่ 4</t>
  </si>
  <si>
    <t>วันที่ 5</t>
  </si>
  <si>
    <t>วันที่ 6</t>
  </si>
  <si>
    <t>วันที่ 7</t>
  </si>
  <si>
    <t>วันที่ 8</t>
  </si>
  <si>
    <t>วันที่ 9</t>
  </si>
  <si>
    <t>วันที่ 10</t>
  </si>
  <si>
    <t>วันที่ 11</t>
  </si>
  <si>
    <t>วันที่ 12</t>
  </si>
  <si>
    <t>วันที่ 13</t>
  </si>
  <si>
    <t>วันที่ 14</t>
  </si>
  <si>
    <t>วันที่ 15</t>
  </si>
  <si>
    <t>วันที่ 16</t>
  </si>
  <si>
    <t>วันที่ 17</t>
  </si>
  <si>
    <t>วันที่ 18</t>
  </si>
  <si>
    <t>วันที่ 19</t>
  </si>
  <si>
    <t>รวม 19 วัน</t>
  </si>
  <si>
    <t>สรุปประวัติผลประกอบการย้อนหลัง สาขา 4 (มีนาคม 2569 - กันยายน 2569)</t>
  </si>
  <si>
    <t>เดือน</t>
  </si>
  <si>
    <t>เป้าหมาย (บาท)</t>
  </si>
  <si>
    <t>ค่าเช่าจ่ายจริง (บาท)</t>
  </si>
  <si>
    <t>ค่าเช่าเฉลี่ยต่อเดือน (บาท)</t>
  </si>
  <si>
    <t>อัตรากำไร (%)</t>
  </si>
  <si>
    <t>หมายเหตุสำคัญ</t>
  </si>
  <si>
    <t>มีนาคม 2569</t>
  </si>
  <si>
    <t>ยอดถึงวันที่ 29 ได้ 20,839 บ. / สิ้นเดือนรวม 22,454 บ.</t>
  </si>
  <si>
    <t>เมษายน 2569</t>
  </si>
  <si>
    <t>ขายถึงวันที่ 23 (21 วันขาย) จ่ายค่าเช่ารอบ 3 เดือน 10,000 บ. (เฉลี่ย 3,333.33 บ./ด.)</t>
  </si>
  <si>
    <t>พฤษภาคม 2569</t>
  </si>
  <si>
    <t>ยอดขายทะลุเป้า 30,000 บ. กำไรสุทธิ +305 บ. ตามบันทึกสมุด</t>
  </si>
  <si>
    <t>มิถุนายน 2569</t>
  </si>
  <si>
    <t>ลงค่าเช่าตัดรอบ 3,336 บ. ในวันที่ 1 รวมรายจ่าย 30,778 บ.</t>
  </si>
  <si>
    <t>กรกฎาคม 2569</t>
  </si>
  <si>
    <t>จ่ายค่าเช่ารอบใหม่ 3 เดือน 10,000 บ. (เฉลี่ย 3,333.33 บ./ด.) ทะลุเป้า</t>
  </si>
  <si>
    <t>สิงหาคม 2569</t>
  </si>
  <si>
    <t>ตั้งเป้าใหม่ 40,000 บ. ยอดขายสูงสุดเป็นประวัติการณ์ 38,655 บ. กำไร +1,879 บ.</t>
  </si>
  <si>
    <t>กันยายน 2569 (19 วัน)</t>
  </si>
  <si>
    <t>ข้อมูล 19 วันแรก ค่าเช่าเฉลี่ย 3,333.33 บ./ด. มีค่าไฟเต่า 3,330 บ.</t>
  </si>
  <si>
    <t>รวม 7 เดือน (มี.ค. - ก.ย. 69)</t>
  </si>
  <si>
    <t>-</t>
  </si>
  <si>
    <t>ยอดขายสะสมเกือบ 2 แสนบาท แนวโน้มเติบโตต่อเนื่อง</t>
  </si>
  <si>
    <t>สรุปประวัติผลประกอบการย้อนหลัง: สาขา 3 (มกราคม - กันยายน 2569)</t>
  </si>
  <si>
    <t>ข้อมูลจากสมุดบัญชีรายวันยอดขายและรายจ่ายรายเดือน (9 เดือนสะสม)</t>
  </si>
  <si>
    <t>ปี</t>
  </si>
  <si>
    <t>รายจ่ายรวม (บาท)</t>
  </si>
  <si>
    <t>ค่าเช่าบันทึก (บาท)</t>
  </si>
  <si>
    <t>อัตรากำไร (Margin)</t>
  </si>
  <si>
    <t>สถานะ / หมายเหตุ</t>
  </si>
  <si>
    <t>มกราคม</t>
  </si>
  <si>
    <t>เปิดปีใหม่ ยอดขายสูงสุดทะลุเป้า 60k (+11,743 บ.)</t>
  </si>
  <si>
    <t>กุมภาพันธ์</t>
  </si>
  <si>
    <t>เดือนสั้น 28 วัน จ่ายค่าเช่า 4,000 บ. (ว.2) ยอดคงเหลือ 506 บ.</t>
  </si>
  <si>
    <t>มีนาคม</t>
  </si>
  <si>
    <t>มีค่าไฟ 1,398 บ. (ว.1) ค่าเช่า 2,000 บ. (ว.3) ยอดคงเหลือ 174 บ.</t>
  </si>
  <si>
    <t>เมษายน</t>
  </si>
  <si>
    <t>บันทึกสรุปตามสมุด: สารรับ 37,470 รายจ่าย 38,716 ติดลบ 1,246 บ.</t>
  </si>
  <si>
    <t>พฤษภาคม</t>
  </si>
  <si>
    <t>พลิกมีกำไรสุทธิ +2,290 บ. จ่ายค่าเช่า 2,000 บ. ยอดคงเหลือ 1,297 บ.</t>
  </si>
  <si>
    <t>มิถุนายน</t>
  </si>
  <si>
    <t>ทะลุเป้า 40k จ่ายค่าเช่า 4,000 บ. (ว.2) ยอดคงเหลือ 119 บ.</t>
  </si>
  <si>
    <t>กรกฎาคม</t>
  </si>
  <si>
    <t>ทะลุเป้า 40k แตะ 49,295 บ. จ่ายค่าเช่า 2,000 บ. ยอดคงเหลือ 340 บ.</t>
  </si>
  <si>
    <t>สิงหาคม</t>
  </si>
  <si>
    <t>ทะลุเป้า 40k ต่อเนื่อง (หากไม่รวมก้อนพิเศษ 5,400 บ. จะกำไร +3,869 บ.)</t>
  </si>
  <si>
    <t>กันยายน (1-19 วัน)</t>
  </si>
  <si>
    <t>ขาย 19 วัน คาดสิ้นเดือนทะลุเป้า 40k (~42,700 บ.)</t>
  </si>
  <si>
    <t>รวมสะสม 9 เดือน</t>
  </si>
  <si>
    <t>สาขาที่สร้างยอดขายสูงสุดในกลุ่ม เฉลี่ย 43,017 บ./เดือน</t>
  </si>
  <si>
    <t>เฉลี่ยต่อเดือน (9 เดือน)</t>
  </si>
  <si>
    <t>สรุปประวัติผลประกอบการย้อนหลัง: สาขา 1 (มกราคม - กันยายน 2569)</t>
  </si>
  <si>
    <t>ข้อมูลจากสมุดบัญชีรายวันยอดขายและรายจ่ายรายเดือน (9 เดือนสะสม - สาขาอันดับ 1 ทั้งรายรับและกำไรสุทธิ)</t>
  </si>
  <si>
    <t>ทะลุเป้า 40k กำไรสุทธิสูงถึง +13,026 บ. (ค่าเช่า/ค่าไฟ 5,639 บ. วันที่ 6)</t>
  </si>
  <si>
    <t>ขาย 28 วัน คุมรายจ่ายได้ดี จ่ายค่าเช่า 5,000 บ. วันที่ 2 กำไรสุทธิ +913 บ.</t>
  </si>
  <si>
    <t>ยอดขายทะลุ 5.4 หมื่นบาท จ่ายค่าเช่า 5,000 บ. รวมค่าไฟตกค้าง 4,942 บ.</t>
  </si>
  <si>
    <t>All-Time High! ยอดขายเทศกาลสงกรานต์ทะลุ 1.44 แสนบาท กำไรสุทธิ +45,056 บ.</t>
  </si>
  <si>
    <t>ยอดขายเกิน 4.5 หมื่นบาท ทะลุเป้า 40k จ่ายค่าเช่า 5,000 บ. วันที่ 1</t>
  </si>
  <si>
    <t>ยอดชะลอตัวตามฤดูกาล มีค่าเช่า 5,000 บ. และค่าไฟ 2,554 บ. วันที่ 1</t>
  </si>
  <si>
    <t>ทะลุเป้า 40k ยอดพุ่ง 5.6 หมื่นบาท พลิกกลับมามีกำไรสุทธิ จ่ายค่าเช่า 5,000 บ.</t>
  </si>
  <si>
    <t>ทะลุเป้า 40k ต่อเนื่อง กำไรสุทธิเด่น +4,333 บ. ทยอยเก็บค่าเช่าวันละ 215 บ.</t>
  </si>
  <si>
    <t>ขาย 19 วัน กำไรดำเนินงานก่อนค่าเช่า +2,727 บ. คาดสิ้นเดือนแตะ ~31,140 บ.</t>
  </si>
  <si>
    <t>ยอดขายและกำไรสุทธิอันดับ 1 ของทุกสาขา (กำไรสะสม +42,801 บ.)</t>
  </si>
  <si>
    <t>สรุปภาพรวมผลประกอบการประจำปี 2569 (มกราคม - กันยายน 2569)</t>
  </si>
  <si>
    <t>ข้อมูลสังเคราะห์ทั้ง 4 สาขา (ยอดขายรวมทะลุ 1,079,924 บาท • กำไรสุทธิรวมเป็นบวก)</t>
  </si>
  <si>
    <t>1. ตารางสรุปเปรียบเทียบผลประกอบการ 4 สาขา ประจำปี 2569</t>
  </si>
  <si>
    <t>ช่วงเวลาบันทึก</t>
  </si>
  <si>
    <t>สัดส่วนรายรับ</t>
  </si>
  <si>
    <t>สถานะ / บทบาทธุรกิจ</t>
  </si>
  <si>
    <t>9 เดือน (ม.ค.-ก.ย.)</t>
  </si>
  <si>
    <t>Cash Cow อันดับ 1 (กำไรสูงสุด +42,801 บ. ยอดขายสูงสุด)</t>
  </si>
  <si>
    <t>ก.ย. (19 วันแรก)</t>
  </si>
  <si>
    <t>บันทึก 19 วันแรก ก.ย. (ค่าเช่ารอบ 3 ด. เฉลี่ย 3,333 บ./ด.)</t>
  </si>
  <si>
    <t>ยอดขายสม่ำเสมออันดับ 2 ทะลุเป้า 40k ติดกัน 4 เดือนซ้อน</t>
  </si>
  <si>
    <t>7 เดือน (มี.ค.-ก.ย.)</t>
  </si>
  <si>
    <t>เติบโตเร็วที่สุด (+72% MoM) ค่าเช่ารอบ 3 เดือน</t>
  </si>
  <si>
    <t>รวมทั้งกิจการ</t>
  </si>
  <si>
    <t>ม.ค. - ก.ย. 2569</t>
  </si>
  <si>
    <t>ยอดขายทะลุ 1.07 ล้านบาท พลิกกลับมามีกำไรสุทธิรวมทั้งกิจการ</t>
  </si>
  <si>
    <t>2. ตารางสรุปผลประกอบการรายเดือนทั้งกิจการ (มกราคม - กันยายน 2569)</t>
  </si>
  <si>
    <t>สาขา 1 (บาท)</t>
  </si>
  <si>
    <t>สาขา 2 (บาท)</t>
  </si>
  <si>
    <t>สาขา 3 (บาท)</t>
  </si>
  <si>
    <t>สาขา 4 (บาท)</t>
  </si>
  <si>
    <t>รายรับรวม (บาท)</t>
  </si>
  <si>
    <t>เปิดปีใหม่ ยอดขายทะลุ 1.2 แสน สาขา 3 ทำ All-Time High 7.7 หมื่น</t>
  </si>
  <si>
    <t>เดือนสั้น 28 วัน ยอดชะลอตัว</t>
  </si>
  <si>
    <t>สาขา 4 เปิดขายเดือนแรก ยอดรวมแตะ 1.09 แสนบาท</t>
  </si>
  <si>
    <t>All-Time High! เทศกาลสงกรานต์ ยอดพุ่งทะลุ 2 แสน กำไรสุทธิ +4.4 หมื่น</t>
  </si>
  <si>
    <t>สาขา 4 ทะลุเป้า 30k ยอดรวมเกิน 1.08 แสน กำไรสุทธิเป็นบวก</t>
  </si>
  <si>
    <t>ต้นฤดูฝน มีรอบจ่ายค่าเช่าและสต็อกของหลายสาขา</t>
  </si>
  <si>
    <t>ยอดขายฟื้นตัวแข็งแกร่ง ทุกสาขาเติบโตแตะ 1.4 แสนบาท</t>
  </si>
  <si>
    <t>สาขา 4 ทำ ATH พลิกกลับมามีกำไรสุทธิรวม +4,681 บ.</t>
  </si>
  <si>
    <t>ข้อมูล 19 วันแรก รวม 4 สาขา คาดสิ้นเดือนทะลุ 1.4 แสนบาท</t>
  </si>
  <si>
    <t>ยอดขายรวมทั้งปี 1,079,924 บ. กำไรสุทธิรวมเป็นบวก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</si>
</sst>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5"/>
      <color rgb="FF465F06"/>
      <name val="Calibri"/>
      <family val="2"/>
      <scheme val="minor"/>
    </font>
    <font>
      <sz val="10"/>
      <color rgb="FF8B7464"/>
      <name val="Calibri"/>
      <family val="2"/>
      <scheme val="minor"/>
    </font>
    <font>
      <b/>
      <sz val="11"/>
      <color rgb="FF3B4E06"/>
      <name val="Calibri"/>
      <family val="2"/>
      <scheme val="minor"/>
    </font>
    <font>
      <b/>
      <sz val="15"/>
      <color rgb="FF1E3A8A"/>
      <name val="Calibri"/>
      <family val="2"/>
      <scheme val="minor"/>
    </font>
    <font>
      <sz val="10"/>
      <color rgb="FF64748B"/>
      <name val="Calibri"/>
      <family val="2"/>
      <scheme val="minor"/>
    </font>
    <font>
      <b/>
      <sz val="11"/>
      <color rgb="FF1E40AF"/>
      <name val="Calibri"/>
      <family val="2"/>
      <scheme val="minor"/>
    </font>
    <font>
      <b/>
      <sz val="16"/>
      <color rgb="FF1E1B4B"/>
      <name val="Calibri"/>
      <family val="2"/>
      <scheme val="minor"/>
    </font>
    <font>
      <sz val="10"/>
      <color rgb="FF475569"/>
      <name val="Calibri"/>
      <family val="2"/>
      <scheme val="minor"/>
    </font>
    <font>
      <b/>
      <sz val="12"/>
      <color rgb="FF1E3A8A"/>
      <name val="Calibri"/>
      <family val="2"/>
      <scheme val="minor"/>
    </font>
    <font>
      <b/>
      <sz val="11"/>
      <color rgb="FF312E81"/>
      <name val="Calibri"/>
      <family val="2"/>
      <scheme val="minor"/>
    </font>
    <font>
      <b/>
      <sz val="11"/>
      <color rgb="FF0F172A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5FAD1"/>
        <bgColor indexed="64"/>
      </patternFill>
    </fill>
    <fill>
      <patternFill patternType="solid">
        <fgColor rgb="FFD0F3A7"/>
        <bgColor indexed="64"/>
      </patternFill>
    </fill>
    <fill>
      <patternFill patternType="solid">
        <fgColor rgb="FFF5FDEC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BFDBFE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C7D2F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/>
    <xf numFmtId="0" fontId="1" fillId="3" borderId="0" xfId="0" applyFont="1" applyFill="1"/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4" borderId="0" xfId="0" applyFont="1" applyFill="1" applyAlignment="1">
      <alignment horizontal="center"/>
    </xf>
    <xf numFmtId="3" fontId="1" fillId="5" borderId="1" xfId="0" applyNumberFormat="1" applyFont="1" applyFill="1" applyBorder="1"/>
    <xf numFmtId="3" fontId="1" fillId="6" borderId="0" xfId="0" applyNumberFormat="1" applyFont="1" applyFill="1"/>
    <xf numFmtId="164" fontId="1" fillId="5" borderId="1" xfId="0" applyNumberFormat="1" applyFont="1" applyFill="1" applyBorder="1"/>
    <xf numFmtId="164" fontId="1" fillId="6" borderId="0" xfId="0" applyNumberFormat="1" applyFont="1" applyFill="1"/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0" xfId="0" applyFont="1" applyFill="1" applyAlignment="1">
      <alignment horizontal="left"/>
    </xf>
    <xf numFmtId="0" fontId="6" fillId="0" borderId="0" xfId="0" applyFont="1"/>
    <xf numFmtId="0" fontId="7" fillId="0" borderId="0" xfId="0" applyFont="1"/>
    <xf numFmtId="0" fontId="8" fillId="7" borderId="0" xfId="0" applyFont="1" applyFill="1" applyAlignment="1">
      <alignment horizontal="center"/>
    </xf>
    <xf numFmtId="3" fontId="1" fillId="8" borderId="1" xfId="0" applyNumberFormat="1" applyFont="1" applyFill="1" applyBorder="1"/>
    <xf numFmtId="3" fontId="1" fillId="9" borderId="0" xfId="0" applyNumberFormat="1" applyFont="1" applyFill="1"/>
    <xf numFmtId="164" fontId="1" fillId="8" borderId="1" xfId="0" applyNumberFormat="1" applyFont="1" applyFill="1" applyBorder="1"/>
    <xf numFmtId="164" fontId="1" fillId="9" borderId="0" xfId="0" applyNumberFormat="1" applyFont="1" applyFill="1"/>
    <xf numFmtId="0" fontId="1" fillId="8" borderId="1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8" fillId="7" borderId="0" xfId="0" applyFont="1" applyFill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9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10" borderId="0" xfId="0" applyFont="1" applyFill="1" applyAlignment="1">
      <alignment horizontal="center"/>
    </xf>
    <xf numFmtId="0" fontId="1" fillId="11" borderId="1" xfId="0" applyFont="1" applyFill="1" applyBorder="1"/>
    <xf numFmtId="3" fontId="1" fillId="11" borderId="1" xfId="0" applyNumberFormat="1" applyFont="1" applyFill="1" applyBorder="1"/>
    <xf numFmtId="164" fontId="1" fillId="11" borderId="1" xfId="0" applyNumberFormat="1" applyFont="1" applyFill="1" applyBorder="1"/>
    <xf numFmtId="0" fontId="1" fillId="11" borderId="1" xfId="0" applyFont="1" applyFill="1" applyBorder="1" applyAlignment="1">
      <alignment horizontal="center"/>
    </xf>
    <xf numFmtId="0" fontId="13" fillId="12" borderId="0" xfId="0" applyFont="1" applyFill="1" applyAlignment="1">
      <alignment horizontal="center"/>
    </xf>
    <xf numFmtId="0" fontId="1" fillId="10" borderId="1" xfId="0" applyFont="1" applyFill="1" applyBorder="1"/>
    <xf numFmtId="0" fontId="1" fillId="13" borderId="0" xfId="0" applyFont="1" applyFill="1"/>
    <xf numFmtId="3" fontId="1" fillId="10" borderId="1" xfId="0" applyNumberFormat="1" applyFont="1" applyFill="1" applyBorder="1"/>
    <xf numFmtId="3" fontId="1" fillId="13" borderId="0" xfId="0" applyNumberFormat="1" applyFont="1" applyFill="1"/>
    <xf numFmtId="164" fontId="1" fillId="10" borderId="1" xfId="0" applyNumberFormat="1" applyFont="1" applyFill="1" applyBorder="1"/>
    <xf numFmtId="164" fontId="1" fillId="13" borderId="0" xfId="0" applyNumberFormat="1" applyFont="1" applyFill="1"/>
    <xf numFmtId="0" fontId="1" fillId="10" borderId="1" xfId="0" applyFont="1" applyFill="1" applyBorder="1" applyAlignment="1">
      <alignment horizontal="center"/>
    </xf>
    <xf numFmtId="0" fontId="1" fillId="1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FD7A-99D5-4A40-B667-0F2941266953}">
  <dimension ref="A1:G8"/>
  <sheetViews>
    <sheetView workbookViewId="0"/>
  </sheetViews>
  <sheetFormatPr defaultRowHeight="14.5" x14ac:dyDescent="0.35"/>
  <cols>
    <col min="1" max="1" width="13.81640625" bestFit="1" customWidth="1"/>
    <col min="2" max="2" width="16.08984375" bestFit="1" customWidth="1"/>
    <col min="3" max="3" width="23.54296875" bestFit="1" customWidth="1"/>
    <col min="4" max="4" width="28.453125" bestFit="1" customWidth="1"/>
    <col min="5" max="5" width="22" bestFit="1" customWidth="1"/>
    <col min="6" max="6" width="22.81640625" bestFit="1" customWidth="1"/>
    <col min="7" max="7" width="67.90625" bestFit="1" customWidth="1"/>
  </cols>
  <sheetData>
    <row r="1" spans="1:7" ht="18.5" x14ac:dyDescent="0.45">
      <c r="A1" s="32" t="s">
        <v>0</v>
      </c>
      <c r="B1" s="32"/>
      <c r="C1" s="32"/>
      <c r="D1" s="32"/>
      <c r="E1" s="32"/>
      <c r="F1" s="32"/>
      <c r="G1" s="32"/>
    </row>
    <row r="3" spans="1:7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35">
      <c r="A4" t="s">
        <v>8</v>
      </c>
      <c r="B4" s="3">
        <v>19720</v>
      </c>
      <c r="C4" s="3">
        <v>16993</v>
      </c>
      <c r="D4" s="3">
        <v>2727</v>
      </c>
      <c r="E4" s="3">
        <v>5000</v>
      </c>
      <c r="F4" s="3">
        <v>-2273</v>
      </c>
      <c r="G4" t="s">
        <v>9</v>
      </c>
    </row>
    <row r="5" spans="1:7" x14ac:dyDescent="0.35">
      <c r="A5" t="s">
        <v>10</v>
      </c>
      <c r="B5" s="3">
        <v>19890</v>
      </c>
      <c r="C5" s="3">
        <v>25260</v>
      </c>
      <c r="D5" s="3">
        <v>-5370</v>
      </c>
      <c r="E5" s="3">
        <v>3333.33</v>
      </c>
      <c r="F5" s="3">
        <v>-8703.33</v>
      </c>
      <c r="G5" t="s">
        <v>11</v>
      </c>
    </row>
    <row r="6" spans="1:7" x14ac:dyDescent="0.35">
      <c r="A6" t="s">
        <v>12</v>
      </c>
      <c r="B6" s="3">
        <v>27068</v>
      </c>
      <c r="C6" s="3">
        <v>24119</v>
      </c>
      <c r="D6" s="3">
        <v>2949</v>
      </c>
      <c r="E6" s="3">
        <v>4000</v>
      </c>
      <c r="F6" s="3">
        <v>-1051</v>
      </c>
      <c r="G6" t="s">
        <v>13</v>
      </c>
    </row>
    <row r="7" spans="1:7" x14ac:dyDescent="0.35">
      <c r="A7" t="s">
        <v>14</v>
      </c>
      <c r="B7" s="3">
        <v>23885</v>
      </c>
      <c r="C7" s="3">
        <v>25012</v>
      </c>
      <c r="D7" s="3">
        <v>-1127</v>
      </c>
      <c r="E7" s="3">
        <v>3333.33</v>
      </c>
      <c r="F7" s="3">
        <v>-4460.33</v>
      </c>
      <c r="G7" t="s">
        <v>15</v>
      </c>
    </row>
    <row r="8" spans="1:7" x14ac:dyDescent="0.35">
      <c r="A8" s="2" t="s">
        <v>16</v>
      </c>
      <c r="B8" s="3">
        <f>SUM(B4:B7)</f>
        <v>90563</v>
      </c>
      <c r="C8" s="3">
        <f>SUM(C4:C7)</f>
        <v>91384</v>
      </c>
      <c r="D8" s="3">
        <f>SUM(D4:D7)</f>
        <v>-821</v>
      </c>
      <c r="E8" s="3">
        <f>SUM(E4:E7)</f>
        <v>15666.66</v>
      </c>
      <c r="F8" s="3">
        <f>SUM(F4:F7)</f>
        <v>-16487.66</v>
      </c>
      <c r="G8" t="s">
        <v>17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9CB6-7894-4FDA-8D0F-AC1024223FA3}">
  <dimension ref="A1:L21"/>
  <sheetViews>
    <sheetView workbookViewId="0"/>
  </sheetViews>
  <sheetFormatPr defaultRowHeight="14.5" x14ac:dyDescent="0.35"/>
  <cols>
    <col min="1" max="1" width="9.81640625" bestFit="1" customWidth="1"/>
    <col min="2" max="5" width="11.36328125" bestFit="1" customWidth="1"/>
    <col min="6" max="6" width="14.54296875" bestFit="1" customWidth="1"/>
    <col min="7" max="10" width="12.6328125" bestFit="1" customWidth="1"/>
    <col min="11" max="11" width="15.81640625" bestFit="1" customWidth="1"/>
    <col min="12" max="12" width="18.26953125" bestFit="1" customWidth="1"/>
  </cols>
  <sheetData>
    <row r="1" spans="1:12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35">
      <c r="A2" t="s">
        <v>30</v>
      </c>
      <c r="B2" s="4">
        <v>2430</v>
      </c>
      <c r="C2" s="4">
        <v>1290</v>
      </c>
      <c r="D2" s="4">
        <v>1080</v>
      </c>
      <c r="E2" s="4">
        <v>925</v>
      </c>
      <c r="F2" s="4">
        <f t="shared" ref="F2:F20" si="0">SUM(B2)</f>
        <v>2430</v>
      </c>
      <c r="G2" s="4">
        <v>569</v>
      </c>
      <c r="H2" s="4">
        <v>1498</v>
      </c>
      <c r="I2" s="4">
        <v>970</v>
      </c>
      <c r="J2" s="4">
        <v>469</v>
      </c>
      <c r="K2" s="4">
        <f t="shared" ref="K2:K20" si="1">SUM(G2)</f>
        <v>569</v>
      </c>
      <c r="L2" s="4">
        <f t="shared" ref="L2:L20" si="2">F2-K2</f>
        <v>1861</v>
      </c>
    </row>
    <row r="3" spans="1:12" x14ac:dyDescent="0.35">
      <c r="A3" t="s">
        <v>31</v>
      </c>
      <c r="B3" s="4">
        <v>855</v>
      </c>
      <c r="C3" s="4">
        <v>1145</v>
      </c>
      <c r="D3" s="4">
        <v>1055</v>
      </c>
      <c r="E3" s="4">
        <v>1335</v>
      </c>
      <c r="F3" s="4">
        <f t="shared" si="0"/>
        <v>855</v>
      </c>
      <c r="G3" s="4">
        <v>1147</v>
      </c>
      <c r="H3" s="4">
        <v>1539</v>
      </c>
      <c r="I3" s="4">
        <v>1195</v>
      </c>
      <c r="J3" s="4">
        <v>1112</v>
      </c>
      <c r="K3" s="4">
        <f t="shared" si="1"/>
        <v>1147</v>
      </c>
      <c r="L3" s="4">
        <f t="shared" si="2"/>
        <v>-292</v>
      </c>
    </row>
    <row r="4" spans="1:12" x14ac:dyDescent="0.35">
      <c r="A4" t="s">
        <v>32</v>
      </c>
      <c r="B4" s="4">
        <v>650</v>
      </c>
      <c r="C4" s="4">
        <v>1155</v>
      </c>
      <c r="D4" s="4">
        <v>690</v>
      </c>
      <c r="E4" s="4">
        <v>895</v>
      </c>
      <c r="F4" s="4">
        <f t="shared" si="0"/>
        <v>650</v>
      </c>
      <c r="G4" s="4">
        <v>1290</v>
      </c>
      <c r="H4" s="4">
        <v>1450</v>
      </c>
      <c r="I4" s="4">
        <v>1510</v>
      </c>
      <c r="J4" s="4">
        <v>2000</v>
      </c>
      <c r="K4" s="4">
        <f t="shared" si="1"/>
        <v>1290</v>
      </c>
      <c r="L4" s="4">
        <f t="shared" si="2"/>
        <v>-640</v>
      </c>
    </row>
    <row r="5" spans="1:12" x14ac:dyDescent="0.35">
      <c r="A5" t="s">
        <v>33</v>
      </c>
      <c r="B5" s="4">
        <v>1245</v>
      </c>
      <c r="C5" s="4">
        <v>1110</v>
      </c>
      <c r="D5" s="4">
        <v>685</v>
      </c>
      <c r="E5" s="4">
        <v>1010</v>
      </c>
      <c r="F5" s="4">
        <f t="shared" si="0"/>
        <v>1245</v>
      </c>
      <c r="G5" s="4">
        <v>5385</v>
      </c>
      <c r="H5" s="4">
        <v>480</v>
      </c>
      <c r="I5" s="4">
        <v>4460</v>
      </c>
      <c r="J5" s="4">
        <v>950</v>
      </c>
      <c r="K5" s="4">
        <f t="shared" si="1"/>
        <v>5385</v>
      </c>
      <c r="L5" s="4">
        <f t="shared" si="2"/>
        <v>-4140</v>
      </c>
    </row>
    <row r="6" spans="1:12" x14ac:dyDescent="0.35">
      <c r="A6" t="s">
        <v>34</v>
      </c>
      <c r="B6" s="4">
        <v>1800</v>
      </c>
      <c r="C6" s="4">
        <v>1255</v>
      </c>
      <c r="D6" s="4">
        <v>1765</v>
      </c>
      <c r="E6" s="4">
        <v>1690</v>
      </c>
      <c r="F6" s="4">
        <f t="shared" si="0"/>
        <v>1800</v>
      </c>
      <c r="G6" s="4">
        <v>530</v>
      </c>
      <c r="H6" s="4">
        <v>1300</v>
      </c>
      <c r="I6" s="4">
        <v>808</v>
      </c>
      <c r="J6" s="4">
        <v>917</v>
      </c>
      <c r="K6" s="4">
        <f t="shared" si="1"/>
        <v>530</v>
      </c>
      <c r="L6" s="4">
        <f t="shared" si="2"/>
        <v>1270</v>
      </c>
    </row>
    <row r="7" spans="1:12" x14ac:dyDescent="0.35">
      <c r="A7" t="s">
        <v>35</v>
      </c>
      <c r="B7" s="4">
        <v>1060</v>
      </c>
      <c r="C7" s="4">
        <v>1140</v>
      </c>
      <c r="D7" s="4">
        <v>1850</v>
      </c>
      <c r="E7" s="4">
        <v>1495</v>
      </c>
      <c r="F7" s="4">
        <f t="shared" si="0"/>
        <v>1060</v>
      </c>
      <c r="G7" s="4">
        <v>3054</v>
      </c>
      <c r="H7" s="4">
        <v>1050</v>
      </c>
      <c r="I7" s="4">
        <v>910</v>
      </c>
      <c r="J7" s="4">
        <v>550</v>
      </c>
      <c r="K7" s="4">
        <f t="shared" si="1"/>
        <v>3054</v>
      </c>
      <c r="L7" s="4">
        <f t="shared" si="2"/>
        <v>-1994</v>
      </c>
    </row>
    <row r="8" spans="1:12" x14ac:dyDescent="0.35">
      <c r="A8" t="s">
        <v>36</v>
      </c>
      <c r="B8" s="4">
        <v>1080</v>
      </c>
      <c r="C8" s="4">
        <v>955</v>
      </c>
      <c r="D8" s="4">
        <v>1410</v>
      </c>
      <c r="E8" s="4">
        <v>1240</v>
      </c>
      <c r="F8" s="4">
        <f t="shared" si="0"/>
        <v>1080</v>
      </c>
      <c r="G8" s="4">
        <v>540</v>
      </c>
      <c r="H8" s="4">
        <v>963</v>
      </c>
      <c r="I8" s="4">
        <v>412</v>
      </c>
      <c r="J8" s="4">
        <v>749</v>
      </c>
      <c r="K8" s="4">
        <f t="shared" si="1"/>
        <v>540</v>
      </c>
      <c r="L8" s="4">
        <f t="shared" si="2"/>
        <v>540</v>
      </c>
    </row>
    <row r="9" spans="1:12" x14ac:dyDescent="0.35">
      <c r="A9" t="s">
        <v>37</v>
      </c>
      <c r="B9" s="4">
        <v>830</v>
      </c>
      <c r="C9" s="4">
        <v>670</v>
      </c>
      <c r="D9" s="4">
        <v>1070</v>
      </c>
      <c r="E9" s="4">
        <v>1120</v>
      </c>
      <c r="F9" s="4">
        <f t="shared" si="0"/>
        <v>830</v>
      </c>
      <c r="G9" s="4">
        <v>1381</v>
      </c>
      <c r="H9" s="4">
        <v>546</v>
      </c>
      <c r="I9" s="4">
        <v>3303</v>
      </c>
      <c r="J9" s="4">
        <v>1525</v>
      </c>
      <c r="K9" s="4">
        <f t="shared" si="1"/>
        <v>1381</v>
      </c>
      <c r="L9" s="4">
        <f t="shared" si="2"/>
        <v>-551</v>
      </c>
    </row>
    <row r="10" spans="1:12" x14ac:dyDescent="0.35">
      <c r="A10" t="s">
        <v>38</v>
      </c>
      <c r="B10" s="4">
        <v>780</v>
      </c>
      <c r="C10" s="4">
        <v>755</v>
      </c>
      <c r="D10" s="4">
        <v>1300</v>
      </c>
      <c r="E10" s="4">
        <v>1515</v>
      </c>
      <c r="F10" s="4">
        <f t="shared" si="0"/>
        <v>780</v>
      </c>
      <c r="G10" s="4">
        <v>390</v>
      </c>
      <c r="H10" s="4">
        <v>3945</v>
      </c>
      <c r="I10" s="4">
        <v>1383</v>
      </c>
      <c r="J10" s="4">
        <v>1020</v>
      </c>
      <c r="K10" s="4">
        <f t="shared" si="1"/>
        <v>390</v>
      </c>
      <c r="L10" s="4">
        <f t="shared" si="2"/>
        <v>390</v>
      </c>
    </row>
    <row r="11" spans="1:12" x14ac:dyDescent="0.35">
      <c r="A11" t="s">
        <v>39</v>
      </c>
      <c r="B11" s="4">
        <v>1350</v>
      </c>
      <c r="C11" s="4">
        <v>1065</v>
      </c>
      <c r="D11" s="4">
        <v>2305</v>
      </c>
      <c r="E11" s="4">
        <v>1245</v>
      </c>
      <c r="F11" s="4">
        <f t="shared" si="0"/>
        <v>1350</v>
      </c>
      <c r="G11" s="4">
        <v>625</v>
      </c>
      <c r="H11" s="4">
        <v>1596</v>
      </c>
      <c r="I11" s="4">
        <v>440</v>
      </c>
      <c r="J11" s="4">
        <v>1571</v>
      </c>
      <c r="K11" s="4">
        <f t="shared" si="1"/>
        <v>625</v>
      </c>
      <c r="L11" s="4">
        <f t="shared" si="2"/>
        <v>725</v>
      </c>
    </row>
    <row r="12" spans="1:12" x14ac:dyDescent="0.35">
      <c r="A12" t="s">
        <v>40</v>
      </c>
      <c r="B12" s="4">
        <v>775</v>
      </c>
      <c r="C12" s="4">
        <v>700</v>
      </c>
      <c r="D12" s="4">
        <v>2390</v>
      </c>
      <c r="E12" s="4">
        <v>1465</v>
      </c>
      <c r="F12" s="4">
        <f t="shared" si="0"/>
        <v>775</v>
      </c>
      <c r="G12" s="4">
        <v>2490</v>
      </c>
      <c r="H12" s="4">
        <v>1533</v>
      </c>
      <c r="I12" s="4">
        <v>1895</v>
      </c>
      <c r="J12" s="4">
        <v>4303</v>
      </c>
      <c r="K12" s="4">
        <f t="shared" si="1"/>
        <v>2490</v>
      </c>
      <c r="L12" s="4">
        <f t="shared" si="2"/>
        <v>-1715</v>
      </c>
    </row>
    <row r="13" spans="1:12" x14ac:dyDescent="0.35">
      <c r="A13" t="s">
        <v>41</v>
      </c>
      <c r="B13" s="4">
        <v>1305</v>
      </c>
      <c r="C13" s="4">
        <v>1015</v>
      </c>
      <c r="D13" s="4">
        <v>1635</v>
      </c>
      <c r="E13" s="4">
        <v>1235</v>
      </c>
      <c r="F13" s="4">
        <f t="shared" si="0"/>
        <v>1305</v>
      </c>
      <c r="G13" s="4">
        <v>425</v>
      </c>
      <c r="H13" s="4">
        <v>1021</v>
      </c>
      <c r="I13" s="4">
        <v>390</v>
      </c>
      <c r="J13" s="4">
        <v>1529</v>
      </c>
      <c r="K13" s="4">
        <f t="shared" si="1"/>
        <v>425</v>
      </c>
      <c r="L13" s="4">
        <f t="shared" si="2"/>
        <v>880</v>
      </c>
    </row>
    <row r="14" spans="1:12" x14ac:dyDescent="0.35">
      <c r="A14" t="s">
        <v>42</v>
      </c>
      <c r="B14" s="4">
        <v>1180</v>
      </c>
      <c r="C14" s="4">
        <v>1190</v>
      </c>
      <c r="D14" s="4">
        <v>1875</v>
      </c>
      <c r="E14" s="4">
        <v>1505</v>
      </c>
      <c r="F14" s="4">
        <f t="shared" si="0"/>
        <v>1180</v>
      </c>
      <c r="G14" s="4">
        <v>607</v>
      </c>
      <c r="H14" s="4">
        <v>1288</v>
      </c>
      <c r="I14" s="4">
        <v>3479</v>
      </c>
      <c r="J14" s="4">
        <v>1158</v>
      </c>
      <c r="K14" s="4">
        <f t="shared" si="1"/>
        <v>607</v>
      </c>
      <c r="L14" s="4">
        <f t="shared" si="2"/>
        <v>573</v>
      </c>
    </row>
    <row r="15" spans="1:12" x14ac:dyDescent="0.35">
      <c r="A15" t="s">
        <v>43</v>
      </c>
      <c r="B15" s="4">
        <v>1370</v>
      </c>
      <c r="C15" s="4">
        <v>1060</v>
      </c>
      <c r="D15" s="4">
        <v>1660</v>
      </c>
      <c r="E15" s="4">
        <v>1525</v>
      </c>
      <c r="F15" s="4">
        <f t="shared" si="0"/>
        <v>1370</v>
      </c>
      <c r="G15" s="4">
        <v>410</v>
      </c>
      <c r="H15" s="4">
        <v>1142</v>
      </c>
      <c r="I15" s="4">
        <v>935</v>
      </c>
      <c r="J15" s="4">
        <v>1472</v>
      </c>
      <c r="K15" s="4">
        <f t="shared" si="1"/>
        <v>410</v>
      </c>
      <c r="L15" s="4">
        <f t="shared" si="2"/>
        <v>960</v>
      </c>
    </row>
    <row r="16" spans="1:12" x14ac:dyDescent="0.35">
      <c r="A16" t="s">
        <v>44</v>
      </c>
      <c r="B16" s="4">
        <v>0</v>
      </c>
      <c r="C16" s="4">
        <v>1165</v>
      </c>
      <c r="D16" s="4">
        <v>875</v>
      </c>
      <c r="E16" s="4">
        <v>1530</v>
      </c>
      <c r="F16" s="4">
        <f t="shared" si="0"/>
        <v>0</v>
      </c>
      <c r="G16" s="4">
        <v>0</v>
      </c>
      <c r="H16" s="4">
        <v>1267</v>
      </c>
      <c r="I16" s="4">
        <v>974</v>
      </c>
      <c r="J16" s="4">
        <v>1067</v>
      </c>
      <c r="K16" s="4">
        <f t="shared" si="1"/>
        <v>0</v>
      </c>
      <c r="L16" s="4">
        <f t="shared" si="2"/>
        <v>0</v>
      </c>
    </row>
    <row r="17" spans="1:12" x14ac:dyDescent="0.35">
      <c r="A17" t="s">
        <v>45</v>
      </c>
      <c r="B17" s="4">
        <v>690</v>
      </c>
      <c r="C17" s="4">
        <v>1005</v>
      </c>
      <c r="D17" s="4">
        <v>1315</v>
      </c>
      <c r="E17" s="4">
        <v>1015</v>
      </c>
      <c r="F17" s="4">
        <f t="shared" si="0"/>
        <v>690</v>
      </c>
      <c r="G17" s="4">
        <v>1905</v>
      </c>
      <c r="H17" s="4">
        <v>1218</v>
      </c>
      <c r="I17" s="4">
        <v>1723</v>
      </c>
      <c r="J17" s="4">
        <v>1249</v>
      </c>
      <c r="K17" s="4">
        <f t="shared" si="1"/>
        <v>1905</v>
      </c>
      <c r="L17" s="4">
        <f t="shared" si="2"/>
        <v>-1215</v>
      </c>
    </row>
    <row r="18" spans="1:12" x14ac:dyDescent="0.35">
      <c r="A18" t="s">
        <v>46</v>
      </c>
      <c r="B18" s="4">
        <v>790</v>
      </c>
      <c r="C18" s="4">
        <v>995</v>
      </c>
      <c r="D18" s="4">
        <v>1230</v>
      </c>
      <c r="E18" s="4">
        <v>800</v>
      </c>
      <c r="F18" s="4">
        <f t="shared" si="0"/>
        <v>790</v>
      </c>
      <c r="G18" s="4">
        <v>425</v>
      </c>
      <c r="H18" s="4">
        <v>1233</v>
      </c>
      <c r="I18" s="4">
        <v>1534</v>
      </c>
      <c r="J18" s="4">
        <v>1855</v>
      </c>
      <c r="K18" s="4">
        <f t="shared" si="1"/>
        <v>425</v>
      </c>
      <c r="L18" s="4">
        <f t="shared" si="2"/>
        <v>365</v>
      </c>
    </row>
    <row r="19" spans="1:12" x14ac:dyDescent="0.35">
      <c r="A19" t="s">
        <v>47</v>
      </c>
      <c r="B19" s="4">
        <v>440</v>
      </c>
      <c r="C19" s="4">
        <v>1075</v>
      </c>
      <c r="D19" s="4">
        <v>1378</v>
      </c>
      <c r="E19" s="4">
        <v>1020</v>
      </c>
      <c r="F19" s="4">
        <f t="shared" si="0"/>
        <v>440</v>
      </c>
      <c r="G19" s="4">
        <v>395</v>
      </c>
      <c r="H19" s="4">
        <v>945</v>
      </c>
      <c r="I19" s="4">
        <v>1200</v>
      </c>
      <c r="J19" s="4">
        <v>507</v>
      </c>
      <c r="K19" s="4">
        <f t="shared" si="1"/>
        <v>395</v>
      </c>
      <c r="L19" s="4">
        <f t="shared" si="2"/>
        <v>45</v>
      </c>
    </row>
    <row r="20" spans="1:12" x14ac:dyDescent="0.35">
      <c r="A20" t="s">
        <v>48</v>
      </c>
      <c r="B20" s="4">
        <v>1090</v>
      </c>
      <c r="C20" s="4">
        <v>1145</v>
      </c>
      <c r="D20" s="4">
        <v>1500</v>
      </c>
      <c r="E20" s="4">
        <v>1320</v>
      </c>
      <c r="F20" s="4">
        <f t="shared" si="0"/>
        <v>1090</v>
      </c>
      <c r="G20" s="4">
        <v>425</v>
      </c>
      <c r="H20" s="4">
        <v>1246</v>
      </c>
      <c r="I20" s="4">
        <v>598</v>
      </c>
      <c r="J20" s="4">
        <v>1009</v>
      </c>
      <c r="K20" s="4">
        <f t="shared" si="1"/>
        <v>425</v>
      </c>
      <c r="L20" s="4">
        <f t="shared" si="2"/>
        <v>665</v>
      </c>
    </row>
    <row r="21" spans="1:12" x14ac:dyDescent="0.35">
      <c r="A21" s="2" t="s">
        <v>49</v>
      </c>
      <c r="B21" s="4">
        <f t="shared" ref="B21:L21" si="3">SUM(B2:B20)</f>
        <v>19720</v>
      </c>
      <c r="C21" s="4">
        <f t="shared" si="3"/>
        <v>19890</v>
      </c>
      <c r="D21" s="4">
        <f t="shared" si="3"/>
        <v>27068</v>
      </c>
      <c r="E21" s="4">
        <f t="shared" si="3"/>
        <v>23885</v>
      </c>
      <c r="F21" s="4">
        <f t="shared" si="3"/>
        <v>19720</v>
      </c>
      <c r="G21" s="4">
        <f t="shared" si="3"/>
        <v>21993</v>
      </c>
      <c r="H21" s="4">
        <f t="shared" si="3"/>
        <v>25260</v>
      </c>
      <c r="I21" s="4">
        <f t="shared" si="3"/>
        <v>28119</v>
      </c>
      <c r="J21" s="4">
        <f t="shared" si="3"/>
        <v>25012</v>
      </c>
      <c r="K21" s="4">
        <f t="shared" si="3"/>
        <v>21993</v>
      </c>
      <c r="L21" s="4">
        <f t="shared" si="3"/>
        <v>-2273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AFA1-0CDC-46BA-98B3-AFDFC957EA34}">
  <dimension ref="A1:I11"/>
  <sheetViews>
    <sheetView workbookViewId="0">
      <selection sqref="A1:I1"/>
    </sheetView>
  </sheetViews>
  <sheetFormatPr defaultRowHeight="14.5" x14ac:dyDescent="0.35"/>
  <cols>
    <col min="1" max="1" width="24.81640625" bestFit="1" customWidth="1"/>
    <col min="2" max="2" width="15.08984375" bestFit="1" customWidth="1"/>
    <col min="3" max="3" width="16.08984375" bestFit="1" customWidth="1"/>
    <col min="4" max="4" width="23.54296875" bestFit="1" customWidth="1"/>
    <col min="5" max="5" width="19.6328125" bestFit="1" customWidth="1"/>
    <col min="6" max="6" width="24.6328125" bestFit="1" customWidth="1"/>
    <col min="7" max="7" width="22.81640625" bestFit="1" customWidth="1"/>
    <col min="8" max="8" width="13.6328125" bestFit="1" customWidth="1"/>
    <col min="9" max="9" width="69.1796875" bestFit="1" customWidth="1"/>
  </cols>
  <sheetData>
    <row r="1" spans="1:9" ht="18.5" x14ac:dyDescent="0.45">
      <c r="A1" s="32" t="s">
        <v>50</v>
      </c>
      <c r="B1" s="32"/>
      <c r="C1" s="32"/>
      <c r="D1" s="32"/>
      <c r="E1" s="32"/>
      <c r="F1" s="32"/>
      <c r="G1" s="32"/>
      <c r="H1" s="32"/>
      <c r="I1" s="32"/>
    </row>
    <row r="3" spans="1:9" x14ac:dyDescent="0.35">
      <c r="A3" s="1" t="s">
        <v>51</v>
      </c>
      <c r="B3" s="1" t="s">
        <v>52</v>
      </c>
      <c r="C3" s="1" t="s">
        <v>2</v>
      </c>
      <c r="D3" s="1" t="s">
        <v>3</v>
      </c>
      <c r="E3" s="1" t="s">
        <v>53</v>
      </c>
      <c r="F3" s="1" t="s">
        <v>54</v>
      </c>
      <c r="G3" s="1" t="s">
        <v>6</v>
      </c>
      <c r="H3" s="1" t="s">
        <v>55</v>
      </c>
      <c r="I3" s="1" t="s">
        <v>56</v>
      </c>
    </row>
    <row r="4" spans="1:9" x14ac:dyDescent="0.35">
      <c r="A4" t="s">
        <v>57</v>
      </c>
      <c r="B4" s="3">
        <v>30000</v>
      </c>
      <c r="C4" s="3">
        <v>22454</v>
      </c>
      <c r="D4" s="3">
        <v>23083</v>
      </c>
      <c r="E4" s="3">
        <v>0</v>
      </c>
      <c r="F4" s="3">
        <v>0</v>
      </c>
      <c r="G4" s="3">
        <v>-629</v>
      </c>
      <c r="H4" s="5">
        <f t="shared" ref="H4:H11" si="0">G4/C4</f>
        <v>-2.8012826222499333E-2</v>
      </c>
      <c r="I4" t="s">
        <v>58</v>
      </c>
    </row>
    <row r="5" spans="1:9" x14ac:dyDescent="0.35">
      <c r="A5" t="s">
        <v>59</v>
      </c>
      <c r="B5" s="3">
        <v>30000</v>
      </c>
      <c r="C5" s="3">
        <v>24236</v>
      </c>
      <c r="D5" s="3">
        <v>19992</v>
      </c>
      <c r="E5" s="3">
        <v>10000</v>
      </c>
      <c r="F5" s="3">
        <v>3333.33</v>
      </c>
      <c r="G5" s="3">
        <v>910.67</v>
      </c>
      <c r="H5" s="5">
        <f t="shared" si="0"/>
        <v>3.7575094900148535E-2</v>
      </c>
      <c r="I5" t="s">
        <v>60</v>
      </c>
    </row>
    <row r="6" spans="1:9" x14ac:dyDescent="0.35">
      <c r="A6" t="s">
        <v>61</v>
      </c>
      <c r="B6" s="3">
        <v>30000</v>
      </c>
      <c r="C6" s="3">
        <v>31466</v>
      </c>
      <c r="D6" s="3">
        <v>31161</v>
      </c>
      <c r="E6" s="3">
        <v>0</v>
      </c>
      <c r="F6" s="3">
        <v>0</v>
      </c>
      <c r="G6" s="3">
        <v>305</v>
      </c>
      <c r="H6" s="5">
        <f t="shared" si="0"/>
        <v>9.6930019703807286E-3</v>
      </c>
      <c r="I6" t="s">
        <v>62</v>
      </c>
    </row>
    <row r="7" spans="1:9" x14ac:dyDescent="0.35">
      <c r="A7" t="s">
        <v>63</v>
      </c>
      <c r="B7" s="3">
        <v>30000</v>
      </c>
      <c r="C7" s="3">
        <v>28368</v>
      </c>
      <c r="D7" s="3">
        <v>27442</v>
      </c>
      <c r="E7" s="3">
        <v>3336</v>
      </c>
      <c r="F7" s="3">
        <v>3336</v>
      </c>
      <c r="G7" s="3">
        <v>-2410</v>
      </c>
      <c r="H7" s="5">
        <f t="shared" si="0"/>
        <v>-8.4954878736604622E-2</v>
      </c>
      <c r="I7" t="s">
        <v>64</v>
      </c>
    </row>
    <row r="8" spans="1:9" x14ac:dyDescent="0.35">
      <c r="A8" t="s">
        <v>65</v>
      </c>
      <c r="B8" s="3">
        <v>30000</v>
      </c>
      <c r="C8" s="3">
        <v>34810</v>
      </c>
      <c r="D8" s="3">
        <v>31351</v>
      </c>
      <c r="E8" s="3">
        <v>10000</v>
      </c>
      <c r="F8" s="3">
        <v>3333.33</v>
      </c>
      <c r="G8" s="3">
        <v>125.67</v>
      </c>
      <c r="H8" s="5">
        <f t="shared" si="0"/>
        <v>3.610169491525424E-3</v>
      </c>
      <c r="I8" t="s">
        <v>66</v>
      </c>
    </row>
    <row r="9" spans="1:9" x14ac:dyDescent="0.35">
      <c r="A9" t="s">
        <v>67</v>
      </c>
      <c r="B9" s="3">
        <v>40000</v>
      </c>
      <c r="C9" s="3">
        <v>38655</v>
      </c>
      <c r="D9" s="3">
        <v>36776</v>
      </c>
      <c r="E9" s="3">
        <v>0</v>
      </c>
      <c r="F9" s="3">
        <v>0</v>
      </c>
      <c r="G9" s="3">
        <v>1879</v>
      </c>
      <c r="H9" s="5">
        <f t="shared" si="0"/>
        <v>4.8609494243952917E-2</v>
      </c>
      <c r="I9" t="s">
        <v>68</v>
      </c>
    </row>
    <row r="10" spans="1:9" x14ac:dyDescent="0.35">
      <c r="A10" t="s">
        <v>69</v>
      </c>
      <c r="B10" s="3">
        <v>40000</v>
      </c>
      <c r="C10" s="3">
        <v>23885</v>
      </c>
      <c r="D10" s="3">
        <v>25012</v>
      </c>
      <c r="E10" s="3">
        <v>0</v>
      </c>
      <c r="F10" s="3">
        <v>3333.33</v>
      </c>
      <c r="G10" s="3">
        <v>-4460.33</v>
      </c>
      <c r="H10" s="5">
        <f t="shared" si="0"/>
        <v>-0.18674188821436047</v>
      </c>
      <c r="I10" t="s">
        <v>70</v>
      </c>
    </row>
    <row r="11" spans="1:9" x14ac:dyDescent="0.35">
      <c r="A11" s="2" t="s">
        <v>71</v>
      </c>
      <c r="B11" s="3" t="s">
        <v>72</v>
      </c>
      <c r="C11" s="3">
        <f>SUM(C4:C10)</f>
        <v>203874</v>
      </c>
      <c r="D11" s="3">
        <f>SUM(D4:D10)</f>
        <v>194817</v>
      </c>
      <c r="E11" s="3">
        <f>SUM(E4:E10)</f>
        <v>23336</v>
      </c>
      <c r="F11" s="3">
        <f>SUM(F4:F10)</f>
        <v>13335.99</v>
      </c>
      <c r="G11" s="3">
        <f>SUM(G4:G10)</f>
        <v>-4278.99</v>
      </c>
      <c r="H11" s="5">
        <f t="shared" si="0"/>
        <v>-2.0988404602842931E-2</v>
      </c>
      <c r="I11" t="s">
        <v>73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54B0-8114-468A-8036-0DC0449EECDC}">
  <dimension ref="A1:I14"/>
  <sheetViews>
    <sheetView workbookViewId="0"/>
  </sheetViews>
  <sheetFormatPr defaultRowHeight="14.5" x14ac:dyDescent="0.35"/>
  <cols>
    <col min="1" max="1" width="85.81640625" bestFit="1" customWidth="1"/>
    <col min="2" max="2" width="4.81640625" bestFit="1" customWidth="1"/>
    <col min="3" max="3" width="15.08984375" bestFit="1" customWidth="1"/>
    <col min="4" max="4" width="16.08984375" bestFit="1" customWidth="1"/>
    <col min="5" max="5" width="17.54296875" bestFit="1" customWidth="1"/>
    <col min="6" max="6" width="18" bestFit="1" customWidth="1"/>
    <col min="7" max="7" width="22.81640625" bestFit="1" customWidth="1"/>
    <col min="8" max="8" width="18.1796875" bestFit="1" customWidth="1"/>
    <col min="9" max="9" width="60.08984375" bestFit="1" customWidth="1"/>
  </cols>
  <sheetData>
    <row r="1" spans="1:9" ht="19.5" x14ac:dyDescent="0.45">
      <c r="A1" s="6" t="s">
        <v>74</v>
      </c>
      <c r="B1" s="6"/>
      <c r="C1" s="6"/>
      <c r="D1" s="6"/>
      <c r="E1" s="6"/>
      <c r="F1" s="6"/>
      <c r="G1" s="6"/>
      <c r="H1" s="6"/>
      <c r="I1" s="6"/>
    </row>
    <row r="2" spans="1:9" x14ac:dyDescent="0.35">
      <c r="A2" s="7" t="s">
        <v>75</v>
      </c>
    </row>
    <row r="3" spans="1:9" x14ac:dyDescent="0.35">
      <c r="A3" s="8" t="s">
        <v>51</v>
      </c>
      <c r="B3" s="8" t="s">
        <v>76</v>
      </c>
      <c r="C3" s="8" t="s">
        <v>52</v>
      </c>
      <c r="D3" s="8" t="s">
        <v>2</v>
      </c>
      <c r="E3" s="8" t="s">
        <v>77</v>
      </c>
      <c r="F3" s="8" t="s">
        <v>78</v>
      </c>
      <c r="G3" s="8" t="s">
        <v>6</v>
      </c>
      <c r="H3" s="8" t="s">
        <v>79</v>
      </c>
      <c r="I3" s="16" t="s">
        <v>80</v>
      </c>
    </row>
    <row r="4" spans="1:9" x14ac:dyDescent="0.35">
      <c r="A4" s="13" t="s">
        <v>81</v>
      </c>
      <c r="B4" s="13">
        <v>2569</v>
      </c>
      <c r="C4" s="4">
        <v>60000</v>
      </c>
      <c r="D4" s="4">
        <v>77494</v>
      </c>
      <c r="E4" s="4">
        <v>65751</v>
      </c>
      <c r="F4" s="4">
        <v>4000</v>
      </c>
      <c r="G4" s="4">
        <f t="shared" ref="G4:G14" si="0">D4-E4</f>
        <v>11743</v>
      </c>
      <c r="H4" s="5">
        <f t="shared" ref="H4:H14" si="1">G4/D4</f>
        <v>0.15153431233385811</v>
      </c>
      <c r="I4" s="17" t="s">
        <v>82</v>
      </c>
    </row>
    <row r="5" spans="1:9" x14ac:dyDescent="0.35">
      <c r="A5" s="13" t="s">
        <v>83</v>
      </c>
      <c r="B5" s="13">
        <v>2569</v>
      </c>
      <c r="C5" s="4">
        <v>60000</v>
      </c>
      <c r="D5" s="4">
        <v>44473</v>
      </c>
      <c r="E5" s="4">
        <v>59117</v>
      </c>
      <c r="F5" s="4">
        <v>4000</v>
      </c>
      <c r="G5" s="4">
        <f t="shared" si="0"/>
        <v>-14644</v>
      </c>
      <c r="H5" s="5">
        <f t="shared" si="1"/>
        <v>-0.32927843860319744</v>
      </c>
      <c r="I5" s="17" t="s">
        <v>84</v>
      </c>
    </row>
    <row r="6" spans="1:9" x14ac:dyDescent="0.35">
      <c r="A6" s="13" t="s">
        <v>85</v>
      </c>
      <c r="B6" s="13">
        <v>2569</v>
      </c>
      <c r="C6" s="4">
        <v>40000</v>
      </c>
      <c r="D6" s="4">
        <v>32186</v>
      </c>
      <c r="E6" s="4">
        <v>40847</v>
      </c>
      <c r="F6" s="4">
        <v>2000</v>
      </c>
      <c r="G6" s="4">
        <f t="shared" si="0"/>
        <v>-8661</v>
      </c>
      <c r="H6" s="5">
        <f t="shared" si="1"/>
        <v>-0.26909215186727148</v>
      </c>
      <c r="I6" s="17" t="s">
        <v>86</v>
      </c>
    </row>
    <row r="7" spans="1:9" x14ac:dyDescent="0.35">
      <c r="A7" s="13" t="s">
        <v>87</v>
      </c>
      <c r="B7" s="13">
        <v>2569</v>
      </c>
      <c r="C7" s="4">
        <v>40000</v>
      </c>
      <c r="D7" s="4">
        <v>37470</v>
      </c>
      <c r="E7" s="4">
        <v>38716</v>
      </c>
      <c r="F7" s="4">
        <v>2000</v>
      </c>
      <c r="G7" s="4">
        <f t="shared" si="0"/>
        <v>-1246</v>
      </c>
      <c r="H7" s="5">
        <f t="shared" si="1"/>
        <v>-3.3253269282092338E-2</v>
      </c>
      <c r="I7" s="17" t="s">
        <v>88</v>
      </c>
    </row>
    <row r="8" spans="1:9" x14ac:dyDescent="0.35">
      <c r="A8" s="13" t="s">
        <v>89</v>
      </c>
      <c r="B8" s="13">
        <v>2569</v>
      </c>
      <c r="C8" s="4">
        <v>40000</v>
      </c>
      <c r="D8" s="4">
        <v>32214</v>
      </c>
      <c r="E8" s="4">
        <v>29924</v>
      </c>
      <c r="F8" s="4">
        <v>2000</v>
      </c>
      <c r="G8" s="4">
        <f t="shared" si="0"/>
        <v>2290</v>
      </c>
      <c r="H8" s="5">
        <f t="shared" si="1"/>
        <v>7.1087104985410071E-2</v>
      </c>
      <c r="I8" s="17" t="s">
        <v>90</v>
      </c>
    </row>
    <row r="9" spans="1:9" x14ac:dyDescent="0.35">
      <c r="A9" s="13" t="s">
        <v>91</v>
      </c>
      <c r="B9" s="13">
        <v>2569</v>
      </c>
      <c r="C9" s="4">
        <v>40000</v>
      </c>
      <c r="D9" s="4">
        <v>41143</v>
      </c>
      <c r="E9" s="4">
        <v>49967</v>
      </c>
      <c r="F9" s="4">
        <v>4000</v>
      </c>
      <c r="G9" s="4">
        <f t="shared" si="0"/>
        <v>-8824</v>
      </c>
      <c r="H9" s="5">
        <f t="shared" si="1"/>
        <v>-0.21447147752959192</v>
      </c>
      <c r="I9" s="17" t="s">
        <v>92</v>
      </c>
    </row>
    <row r="10" spans="1:9" x14ac:dyDescent="0.35">
      <c r="A10" s="13" t="s">
        <v>93</v>
      </c>
      <c r="B10" s="13">
        <v>2569</v>
      </c>
      <c r="C10" s="4">
        <v>40000</v>
      </c>
      <c r="D10" s="4">
        <v>49295</v>
      </c>
      <c r="E10" s="4">
        <v>51785</v>
      </c>
      <c r="F10" s="4">
        <v>2000</v>
      </c>
      <c r="G10" s="4">
        <f t="shared" si="0"/>
        <v>-2490</v>
      </c>
      <c r="H10" s="5">
        <f t="shared" si="1"/>
        <v>-5.0512222334922405E-2</v>
      </c>
      <c r="I10" s="17" t="s">
        <v>94</v>
      </c>
    </row>
    <row r="11" spans="1:9" x14ac:dyDescent="0.35">
      <c r="A11" s="13" t="s">
        <v>95</v>
      </c>
      <c r="B11" s="13">
        <v>2569</v>
      </c>
      <c r="C11" s="4">
        <v>40000</v>
      </c>
      <c r="D11" s="4">
        <v>45812</v>
      </c>
      <c r="E11" s="4">
        <v>47343</v>
      </c>
      <c r="F11" s="4">
        <v>2000</v>
      </c>
      <c r="G11" s="4">
        <f t="shared" si="0"/>
        <v>-1531</v>
      </c>
      <c r="H11" s="5">
        <f t="shared" si="1"/>
        <v>-3.3419191478215315E-2</v>
      </c>
      <c r="I11" s="17" t="s">
        <v>96</v>
      </c>
    </row>
    <row r="12" spans="1:9" x14ac:dyDescent="0.35">
      <c r="A12" s="13" t="s">
        <v>97</v>
      </c>
      <c r="B12" s="13">
        <v>2569</v>
      </c>
      <c r="C12" s="4">
        <v>40000</v>
      </c>
      <c r="D12" s="4">
        <v>27068</v>
      </c>
      <c r="E12" s="4">
        <v>28119</v>
      </c>
      <c r="F12" s="4">
        <v>4000</v>
      </c>
      <c r="G12" s="4">
        <f t="shared" si="0"/>
        <v>-1051</v>
      </c>
      <c r="H12" s="5">
        <f t="shared" si="1"/>
        <v>-3.8828136544997782E-2</v>
      </c>
      <c r="I12" s="17" t="s">
        <v>98</v>
      </c>
    </row>
    <row r="13" spans="1:9" ht="15" thickBot="1" x14ac:dyDescent="0.4">
      <c r="A13" s="14" t="s">
        <v>99</v>
      </c>
      <c r="B13" s="14" t="s">
        <v>72</v>
      </c>
      <c r="C13" s="9" t="s">
        <v>72</v>
      </c>
      <c r="D13" s="9">
        <f>SUM(D4:D12)</f>
        <v>387155</v>
      </c>
      <c r="E13" s="9">
        <f>SUM(E4:E12)</f>
        <v>411569</v>
      </c>
      <c r="F13" s="9">
        <f>SUM(F4:F12)</f>
        <v>26000</v>
      </c>
      <c r="G13" s="9">
        <f t="shared" si="0"/>
        <v>-24414</v>
      </c>
      <c r="H13" s="11">
        <f t="shared" si="1"/>
        <v>-6.3060014722785454E-2</v>
      </c>
      <c r="I13" s="18" t="s">
        <v>100</v>
      </c>
    </row>
    <row r="14" spans="1:9" ht="15" thickTop="1" x14ac:dyDescent="0.35">
      <c r="A14" s="15" t="s">
        <v>101</v>
      </c>
      <c r="B14" s="15" t="s">
        <v>72</v>
      </c>
      <c r="C14" s="10" t="s">
        <v>72</v>
      </c>
      <c r="D14" s="10">
        <f>AVERAGE(D4:D12)</f>
        <v>43017.222222222219</v>
      </c>
      <c r="E14" s="10">
        <f>AVERAGE(E4:E12)</f>
        <v>45729.888888888891</v>
      </c>
      <c r="F14" s="10">
        <f>AVERAGE(F4:F12)</f>
        <v>2888.8888888888887</v>
      </c>
      <c r="G14" s="10">
        <f t="shared" si="0"/>
        <v>-2712.6666666666715</v>
      </c>
      <c r="H14" s="12">
        <f t="shared" si="1"/>
        <v>-6.3060014722785565E-2</v>
      </c>
      <c r="I14" s="19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F0F1-53F3-4849-A572-B467D0C617D8}">
  <dimension ref="A1:I14"/>
  <sheetViews>
    <sheetView workbookViewId="0"/>
  </sheetViews>
  <sheetFormatPr defaultRowHeight="14.5" x14ac:dyDescent="0.35"/>
  <cols>
    <col min="1" max="1" width="85.81640625" bestFit="1" customWidth="1"/>
    <col min="2" max="2" width="4.81640625" bestFit="1" customWidth="1"/>
    <col min="3" max="3" width="15.08984375" bestFit="1" customWidth="1"/>
    <col min="4" max="4" width="16.08984375" bestFit="1" customWidth="1"/>
    <col min="5" max="5" width="17.54296875" bestFit="1" customWidth="1"/>
    <col min="6" max="6" width="18" bestFit="1" customWidth="1"/>
    <col min="7" max="7" width="22.81640625" bestFit="1" customWidth="1"/>
    <col min="8" max="8" width="18.1796875" bestFit="1" customWidth="1"/>
    <col min="9" max="9" width="69.1796875" bestFit="1" customWidth="1"/>
  </cols>
  <sheetData>
    <row r="1" spans="1:9" ht="19.5" x14ac:dyDescent="0.45">
      <c r="A1" s="20" t="s">
        <v>102</v>
      </c>
      <c r="B1" s="20"/>
      <c r="C1" s="20"/>
      <c r="D1" s="20"/>
      <c r="E1" s="20"/>
      <c r="F1" s="20"/>
      <c r="G1" s="20"/>
      <c r="H1" s="20"/>
      <c r="I1" s="20"/>
    </row>
    <row r="2" spans="1:9" x14ac:dyDescent="0.35">
      <c r="A2" s="21" t="s">
        <v>103</v>
      </c>
    </row>
    <row r="3" spans="1:9" x14ac:dyDescent="0.35">
      <c r="A3" s="22" t="s">
        <v>51</v>
      </c>
      <c r="B3" s="22" t="s">
        <v>76</v>
      </c>
      <c r="C3" s="22" t="s">
        <v>52</v>
      </c>
      <c r="D3" s="22" t="s">
        <v>2</v>
      </c>
      <c r="E3" s="22" t="s">
        <v>77</v>
      </c>
      <c r="F3" s="22" t="s">
        <v>78</v>
      </c>
      <c r="G3" s="22" t="s">
        <v>6</v>
      </c>
      <c r="H3" s="22" t="s">
        <v>79</v>
      </c>
      <c r="I3" s="29" t="s">
        <v>80</v>
      </c>
    </row>
    <row r="4" spans="1:9" x14ac:dyDescent="0.35">
      <c r="A4" s="13" t="s">
        <v>81</v>
      </c>
      <c r="B4" s="13">
        <v>2569</v>
      </c>
      <c r="C4" s="4">
        <v>40000</v>
      </c>
      <c r="D4" s="4">
        <v>44743</v>
      </c>
      <c r="E4" s="4">
        <v>31717</v>
      </c>
      <c r="F4" s="4">
        <v>5639</v>
      </c>
      <c r="G4" s="4">
        <f t="shared" ref="G4:G14" si="0">D4-E4</f>
        <v>13026</v>
      </c>
      <c r="H4" s="5">
        <f t="shared" ref="H4:H14" si="1">G4/D4</f>
        <v>0.29112933866750107</v>
      </c>
      <c r="I4" s="17" t="s">
        <v>104</v>
      </c>
    </row>
    <row r="5" spans="1:9" x14ac:dyDescent="0.35">
      <c r="A5" s="13" t="s">
        <v>83</v>
      </c>
      <c r="B5" s="13">
        <v>2569</v>
      </c>
      <c r="C5" s="4">
        <v>40000</v>
      </c>
      <c r="D5" s="4">
        <v>31510</v>
      </c>
      <c r="E5" s="4">
        <v>30597</v>
      </c>
      <c r="F5" s="4">
        <v>5000</v>
      </c>
      <c r="G5" s="4">
        <f t="shared" si="0"/>
        <v>913</v>
      </c>
      <c r="H5" s="5">
        <f t="shared" si="1"/>
        <v>2.8974928594097112E-2</v>
      </c>
      <c r="I5" s="17" t="s">
        <v>105</v>
      </c>
    </row>
    <row r="6" spans="1:9" x14ac:dyDescent="0.35">
      <c r="A6" s="13" t="s">
        <v>85</v>
      </c>
      <c r="B6" s="13">
        <v>2569</v>
      </c>
      <c r="C6" s="4">
        <v>40000</v>
      </c>
      <c r="D6" s="4">
        <v>54373</v>
      </c>
      <c r="E6" s="4">
        <v>57267</v>
      </c>
      <c r="F6" s="4">
        <v>5000</v>
      </c>
      <c r="G6" s="4">
        <f t="shared" si="0"/>
        <v>-2894</v>
      </c>
      <c r="H6" s="5">
        <f t="shared" si="1"/>
        <v>-5.3224946204917883E-2</v>
      </c>
      <c r="I6" s="17" t="s">
        <v>106</v>
      </c>
    </row>
    <row r="7" spans="1:9" x14ac:dyDescent="0.35">
      <c r="A7" s="13" t="s">
        <v>87</v>
      </c>
      <c r="B7" s="13">
        <v>2569</v>
      </c>
      <c r="C7" s="4">
        <v>50000</v>
      </c>
      <c r="D7" s="4">
        <v>144215</v>
      </c>
      <c r="E7" s="4">
        <v>99159</v>
      </c>
      <c r="F7" s="4">
        <v>5000</v>
      </c>
      <c r="G7" s="4">
        <f t="shared" si="0"/>
        <v>45056</v>
      </c>
      <c r="H7" s="5">
        <f t="shared" si="1"/>
        <v>0.31242242485178379</v>
      </c>
      <c r="I7" s="17" t="s">
        <v>107</v>
      </c>
    </row>
    <row r="8" spans="1:9" x14ac:dyDescent="0.35">
      <c r="A8" s="13" t="s">
        <v>89</v>
      </c>
      <c r="B8" s="13">
        <v>2569</v>
      </c>
      <c r="C8" s="4">
        <v>40000</v>
      </c>
      <c r="D8" s="4">
        <v>45260</v>
      </c>
      <c r="E8" s="4">
        <v>47016</v>
      </c>
      <c r="F8" s="4">
        <v>5000</v>
      </c>
      <c r="G8" s="4">
        <f t="shared" si="0"/>
        <v>-1756</v>
      </c>
      <c r="H8" s="5">
        <f t="shared" si="1"/>
        <v>-3.8798055678303141E-2</v>
      </c>
      <c r="I8" s="17" t="s">
        <v>108</v>
      </c>
    </row>
    <row r="9" spans="1:9" x14ac:dyDescent="0.35">
      <c r="A9" s="13" t="s">
        <v>91</v>
      </c>
      <c r="B9" s="13">
        <v>2569</v>
      </c>
      <c r="C9" s="4">
        <v>40000</v>
      </c>
      <c r="D9" s="4">
        <v>33265</v>
      </c>
      <c r="E9" s="4">
        <v>47218</v>
      </c>
      <c r="F9" s="4">
        <v>7554</v>
      </c>
      <c r="G9" s="4">
        <f t="shared" si="0"/>
        <v>-13953</v>
      </c>
      <c r="H9" s="5">
        <f t="shared" si="1"/>
        <v>-0.41944987223808811</v>
      </c>
      <c r="I9" s="17" t="s">
        <v>109</v>
      </c>
    </row>
    <row r="10" spans="1:9" x14ac:dyDescent="0.35">
      <c r="A10" s="13" t="s">
        <v>93</v>
      </c>
      <c r="B10" s="13">
        <v>2569</v>
      </c>
      <c r="C10" s="4">
        <v>40000</v>
      </c>
      <c r="D10" s="4">
        <v>56370</v>
      </c>
      <c r="E10" s="4">
        <v>56021</v>
      </c>
      <c r="F10" s="4">
        <v>5000</v>
      </c>
      <c r="G10" s="4">
        <f t="shared" si="0"/>
        <v>349</v>
      </c>
      <c r="H10" s="5">
        <f t="shared" si="1"/>
        <v>6.1912364733014017E-3</v>
      </c>
      <c r="I10" s="17" t="s">
        <v>110</v>
      </c>
    </row>
    <row r="11" spans="1:9" x14ac:dyDescent="0.35">
      <c r="A11" s="13" t="s">
        <v>95</v>
      </c>
      <c r="B11" s="13">
        <v>2569</v>
      </c>
      <c r="C11" s="4">
        <v>40000</v>
      </c>
      <c r="D11" s="4">
        <v>44005</v>
      </c>
      <c r="E11" s="4">
        <v>39672</v>
      </c>
      <c r="F11" s="4">
        <v>2150</v>
      </c>
      <c r="G11" s="4">
        <f t="shared" si="0"/>
        <v>4333</v>
      </c>
      <c r="H11" s="5">
        <f t="shared" si="1"/>
        <v>9.8466083399613685E-2</v>
      </c>
      <c r="I11" s="17" t="s">
        <v>111</v>
      </c>
    </row>
    <row r="12" spans="1:9" x14ac:dyDescent="0.35">
      <c r="A12" s="13" t="s">
        <v>97</v>
      </c>
      <c r="B12" s="13">
        <v>2569</v>
      </c>
      <c r="C12" s="4">
        <v>40000</v>
      </c>
      <c r="D12" s="4">
        <v>19720</v>
      </c>
      <c r="E12" s="4">
        <v>21993</v>
      </c>
      <c r="F12" s="4">
        <v>5000</v>
      </c>
      <c r="G12" s="4">
        <f t="shared" si="0"/>
        <v>-2273</v>
      </c>
      <c r="H12" s="5">
        <f t="shared" si="1"/>
        <v>-0.11526369168356998</v>
      </c>
      <c r="I12" s="17" t="s">
        <v>112</v>
      </c>
    </row>
    <row r="13" spans="1:9" ht="15" thickBot="1" x14ac:dyDescent="0.4">
      <c r="A13" s="27" t="s">
        <v>99</v>
      </c>
      <c r="B13" s="27" t="s">
        <v>72</v>
      </c>
      <c r="C13" s="23" t="s">
        <v>72</v>
      </c>
      <c r="D13" s="23">
        <f>SUM(D4:D12)</f>
        <v>473461</v>
      </c>
      <c r="E13" s="23">
        <f>SUM(E4:E12)</f>
        <v>430660</v>
      </c>
      <c r="F13" s="23">
        <f>SUM(F4:F12)</f>
        <v>45343</v>
      </c>
      <c r="G13" s="23">
        <f t="shared" si="0"/>
        <v>42801</v>
      </c>
      <c r="H13" s="25">
        <f t="shared" si="1"/>
        <v>9.0400265280561651E-2</v>
      </c>
      <c r="I13" s="30" t="s">
        <v>113</v>
      </c>
    </row>
    <row r="14" spans="1:9" ht="15" thickTop="1" x14ac:dyDescent="0.35">
      <c r="A14" s="28" t="s">
        <v>101</v>
      </c>
      <c r="B14" s="28" t="s">
        <v>72</v>
      </c>
      <c r="C14" s="24" t="s">
        <v>72</v>
      </c>
      <c r="D14" s="24">
        <f>AVERAGE(D4:D12)</f>
        <v>52606.777777777781</v>
      </c>
      <c r="E14" s="24">
        <f>AVERAGE(E4:E12)</f>
        <v>47851.111111111109</v>
      </c>
      <c r="F14" s="24">
        <f>AVERAGE(F4:F12)</f>
        <v>5038.1111111111113</v>
      </c>
      <c r="G14" s="24">
        <f t="shared" si="0"/>
        <v>4755.6666666666715</v>
      </c>
      <c r="H14" s="26">
        <f t="shared" si="1"/>
        <v>9.0400265280561734E-2</v>
      </c>
      <c r="I14" s="31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D89C-DDE2-4B0B-8F3D-FCE090BADFF6}">
  <dimension ref="A1:K24"/>
  <sheetViews>
    <sheetView tabSelected="1" workbookViewId="0"/>
  </sheetViews>
  <sheetFormatPr defaultRowHeight="14.5" x14ac:dyDescent="0.35"/>
  <cols>
    <col min="1" max="1" width="89.54296875" bestFit="1" customWidth="1"/>
    <col min="2" max="2" width="16.1796875" bestFit="1" customWidth="1"/>
    <col min="3" max="3" width="15.08984375" bestFit="1" customWidth="1"/>
    <col min="4" max="4" width="16.08984375" bestFit="1" customWidth="1"/>
    <col min="5" max="5" width="13.26953125" bestFit="1" customWidth="1"/>
    <col min="6" max="6" width="23.54296875" bestFit="1" customWidth="1"/>
    <col min="7" max="7" width="18" bestFit="1" customWidth="1"/>
    <col min="8" max="8" width="17.54296875" bestFit="1" customWidth="1"/>
    <col min="9" max="9" width="22.81640625" bestFit="1" customWidth="1"/>
    <col min="10" max="10" width="18.1796875" bestFit="1" customWidth="1"/>
    <col min="11" max="11" width="61.453125" bestFit="1" customWidth="1"/>
  </cols>
  <sheetData>
    <row r="1" spans="1:11" ht="21" x14ac:dyDescent="0.5">
      <c r="A1" s="33" t="s">
        <v>114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x14ac:dyDescent="0.35">
      <c r="A2" s="34" t="s">
        <v>115</v>
      </c>
    </row>
    <row r="4" spans="1:11" ht="15.5" x14ac:dyDescent="0.35">
      <c r="A4" s="35" t="s">
        <v>116</v>
      </c>
    </row>
    <row r="5" spans="1:11" x14ac:dyDescent="0.35">
      <c r="A5" s="36" t="s">
        <v>1</v>
      </c>
      <c r="B5" s="36" t="s">
        <v>117</v>
      </c>
      <c r="C5" s="36" t="s">
        <v>52</v>
      </c>
      <c r="D5" s="36" t="s">
        <v>2</v>
      </c>
      <c r="E5" s="36" t="s">
        <v>118</v>
      </c>
      <c r="F5" s="36" t="s">
        <v>3</v>
      </c>
      <c r="G5" s="36" t="s">
        <v>78</v>
      </c>
      <c r="H5" s="36" t="s">
        <v>77</v>
      </c>
      <c r="I5" s="36" t="s">
        <v>6</v>
      </c>
      <c r="J5" s="36" t="s">
        <v>79</v>
      </c>
      <c r="K5" s="36" t="s">
        <v>119</v>
      </c>
    </row>
    <row r="6" spans="1:11" x14ac:dyDescent="0.35">
      <c r="A6" s="13" t="s">
        <v>8</v>
      </c>
      <c r="B6" s="13" t="s">
        <v>120</v>
      </c>
      <c r="C6" s="4">
        <v>370000</v>
      </c>
      <c r="D6" s="4">
        <v>473461</v>
      </c>
      <c r="E6" s="5">
        <f>D6/$D$10</f>
        <v>0.43842066663950424</v>
      </c>
      <c r="F6" s="4">
        <v>385317</v>
      </c>
      <c r="G6" s="4">
        <v>45343</v>
      </c>
      <c r="H6" s="4">
        <f>F6+G6</f>
        <v>430660</v>
      </c>
      <c r="I6" s="4">
        <f>D6-H6</f>
        <v>42801</v>
      </c>
      <c r="J6" s="5">
        <f>I6/D6</f>
        <v>9.0400265280561651E-2</v>
      </c>
      <c r="K6" t="s">
        <v>121</v>
      </c>
    </row>
    <row r="7" spans="1:11" x14ac:dyDescent="0.35">
      <c r="A7" s="13" t="s">
        <v>10</v>
      </c>
      <c r="B7" s="13" t="s">
        <v>122</v>
      </c>
      <c r="C7" s="4">
        <v>40000</v>
      </c>
      <c r="D7" s="4">
        <v>19890</v>
      </c>
      <c r="E7" s="5">
        <f>D7/$D$10</f>
        <v>1.8417962745526536E-2</v>
      </c>
      <c r="F7" s="4">
        <v>25260</v>
      </c>
      <c r="G7" s="4">
        <v>3333.33</v>
      </c>
      <c r="H7" s="4">
        <f>F7+G7</f>
        <v>28593.33</v>
      </c>
      <c r="I7" s="4">
        <f>D7-H7</f>
        <v>-8703.3300000000017</v>
      </c>
      <c r="J7" s="5">
        <f>I7/D7</f>
        <v>-0.43757315233785832</v>
      </c>
      <c r="K7" t="s">
        <v>123</v>
      </c>
    </row>
    <row r="8" spans="1:11" x14ac:dyDescent="0.35">
      <c r="A8" s="13" t="s">
        <v>12</v>
      </c>
      <c r="B8" s="13" t="s">
        <v>120</v>
      </c>
      <c r="C8" s="4">
        <v>400000</v>
      </c>
      <c r="D8" s="4">
        <v>387155</v>
      </c>
      <c r="E8" s="5">
        <f>D8/$D$10</f>
        <v>0.35850207977598425</v>
      </c>
      <c r="F8" s="4">
        <v>387569</v>
      </c>
      <c r="G8" s="4">
        <v>24000</v>
      </c>
      <c r="H8" s="4">
        <f>F8+G8</f>
        <v>411569</v>
      </c>
      <c r="I8" s="4">
        <f>D8-H8</f>
        <v>-24414</v>
      </c>
      <c r="J8" s="5">
        <f>I8/D8</f>
        <v>-6.3060014722785454E-2</v>
      </c>
      <c r="K8" t="s">
        <v>124</v>
      </c>
    </row>
    <row r="9" spans="1:11" x14ac:dyDescent="0.35">
      <c r="A9" s="13" t="s">
        <v>14</v>
      </c>
      <c r="B9" s="13" t="s">
        <v>125</v>
      </c>
      <c r="C9" s="4">
        <v>230000</v>
      </c>
      <c r="D9" s="4">
        <v>199418</v>
      </c>
      <c r="E9" s="5">
        <f>D9/$D$10</f>
        <v>0.18465929083898497</v>
      </c>
      <c r="F9" s="4">
        <v>194817</v>
      </c>
      <c r="G9" s="4">
        <v>13335.99</v>
      </c>
      <c r="H9" s="4">
        <f>F9+G9</f>
        <v>208152.99</v>
      </c>
      <c r="I9" s="4">
        <f>D9-H9</f>
        <v>-8734.9899999999907</v>
      </c>
      <c r="J9" s="5">
        <f>I9/D9</f>
        <v>-4.3802415027730648E-2</v>
      </c>
      <c r="K9" t="s">
        <v>126</v>
      </c>
    </row>
    <row r="10" spans="1:11" ht="15" thickBot="1" x14ac:dyDescent="0.4">
      <c r="A10" s="40" t="s">
        <v>127</v>
      </c>
      <c r="B10" s="40" t="s">
        <v>128</v>
      </c>
      <c r="C10" s="38">
        <f>SUM(C6:C9)</f>
        <v>1040000</v>
      </c>
      <c r="D10" s="38">
        <f>SUM(D6:D9)</f>
        <v>1079924</v>
      </c>
      <c r="E10" s="39">
        <f>SUM(E6:E9)</f>
        <v>1</v>
      </c>
      <c r="F10" s="38">
        <f>SUM(F6:F9)</f>
        <v>992963</v>
      </c>
      <c r="G10" s="38">
        <f>SUM(G6:G9)</f>
        <v>86012.32</v>
      </c>
      <c r="H10" s="38">
        <f>SUM(H6:H9)</f>
        <v>1078975.32</v>
      </c>
      <c r="I10" s="38">
        <f>SUM(I6:I9)</f>
        <v>948.68000000000757</v>
      </c>
      <c r="J10" s="39">
        <f>I10/D10</f>
        <v>8.7846922561217976E-4</v>
      </c>
      <c r="K10" s="37" t="s">
        <v>129</v>
      </c>
    </row>
    <row r="11" spans="1:11" ht="15" thickTop="1" x14ac:dyDescent="0.35"/>
    <row r="12" spans="1:11" ht="15.5" x14ac:dyDescent="0.35">
      <c r="A12" s="35" t="s">
        <v>130</v>
      </c>
    </row>
    <row r="13" spans="1:11" x14ac:dyDescent="0.35">
      <c r="A13" s="41" t="s">
        <v>51</v>
      </c>
      <c r="B13" s="41" t="s">
        <v>76</v>
      </c>
      <c r="C13" s="41" t="s">
        <v>131</v>
      </c>
      <c r="D13" s="41" t="s">
        <v>132</v>
      </c>
      <c r="E13" s="41" t="s">
        <v>133</v>
      </c>
      <c r="F13" s="41" t="s">
        <v>134</v>
      </c>
      <c r="G13" s="41" t="s">
        <v>135</v>
      </c>
      <c r="H13" s="41" t="s">
        <v>77</v>
      </c>
      <c r="I13" s="41" t="s">
        <v>6</v>
      </c>
      <c r="J13" s="41" t="s">
        <v>79</v>
      </c>
      <c r="K13" s="41" t="s">
        <v>56</v>
      </c>
    </row>
    <row r="14" spans="1:11" x14ac:dyDescent="0.35">
      <c r="A14" s="13" t="s">
        <v>81</v>
      </c>
      <c r="B14" s="13">
        <v>2569</v>
      </c>
      <c r="C14" s="4">
        <v>44743</v>
      </c>
      <c r="D14" s="4">
        <v>0</v>
      </c>
      <c r="E14" s="4">
        <v>77494</v>
      </c>
      <c r="F14" s="4">
        <v>0</v>
      </c>
      <c r="G14" s="4">
        <f>SUM(C14)</f>
        <v>44743</v>
      </c>
      <c r="H14" s="4">
        <v>97468</v>
      </c>
      <c r="I14" s="4">
        <f>G14-H14</f>
        <v>-52725</v>
      </c>
      <c r="J14" s="5">
        <f>I14/G14</f>
        <v>-1.1783966207004448</v>
      </c>
      <c r="K14" t="s">
        <v>136</v>
      </c>
    </row>
    <row r="15" spans="1:11" x14ac:dyDescent="0.35">
      <c r="A15" s="13" t="s">
        <v>83</v>
      </c>
      <c r="B15" s="13">
        <v>2569</v>
      </c>
      <c r="C15" s="4">
        <v>31510</v>
      </c>
      <c r="D15" s="4">
        <v>0</v>
      </c>
      <c r="E15" s="4">
        <v>44473</v>
      </c>
      <c r="F15" s="4">
        <v>0</v>
      </c>
      <c r="G15" s="4">
        <f>SUM(C15)</f>
        <v>31510</v>
      </c>
      <c r="H15" s="4">
        <v>89714</v>
      </c>
      <c r="I15" s="4">
        <f>G15-H15</f>
        <v>-58204</v>
      </c>
      <c r="J15" s="5">
        <f>I15/G15</f>
        <v>-1.8471596318629007</v>
      </c>
      <c r="K15" t="s">
        <v>137</v>
      </c>
    </row>
    <row r="16" spans="1:11" x14ac:dyDescent="0.35">
      <c r="A16" s="13" t="s">
        <v>85</v>
      </c>
      <c r="B16" s="13">
        <v>2569</v>
      </c>
      <c r="C16" s="4">
        <v>54373</v>
      </c>
      <c r="D16" s="4">
        <v>0</v>
      </c>
      <c r="E16" s="4">
        <v>32186</v>
      </c>
      <c r="F16" s="4">
        <v>22454</v>
      </c>
      <c r="G16" s="4">
        <f>SUM(C16)</f>
        <v>54373</v>
      </c>
      <c r="H16" s="4">
        <v>121197</v>
      </c>
      <c r="I16" s="4">
        <f>G16-H16</f>
        <v>-66824</v>
      </c>
      <c r="J16" s="5">
        <f>I16/G16</f>
        <v>-1.2289923307523956</v>
      </c>
      <c r="K16" t="s">
        <v>138</v>
      </c>
    </row>
    <row r="17" spans="1:11" x14ac:dyDescent="0.35">
      <c r="A17" s="13" t="s">
        <v>87</v>
      </c>
      <c r="B17" s="13">
        <v>2569</v>
      </c>
      <c r="C17" s="4">
        <v>144215</v>
      </c>
      <c r="D17" s="4">
        <v>0</v>
      </c>
      <c r="E17" s="4">
        <v>37470</v>
      </c>
      <c r="F17" s="4">
        <v>24236</v>
      </c>
      <c r="G17" s="4">
        <f>SUM(C17)</f>
        <v>144215</v>
      </c>
      <c r="H17" s="4">
        <v>161200</v>
      </c>
      <c r="I17" s="4">
        <f>G17-H17</f>
        <v>-16985</v>
      </c>
      <c r="J17" s="5">
        <f>I17/G17</f>
        <v>-0.11777554345941824</v>
      </c>
      <c r="K17" t="s">
        <v>139</v>
      </c>
    </row>
    <row r="18" spans="1:11" x14ac:dyDescent="0.35">
      <c r="A18" s="13" t="s">
        <v>89</v>
      </c>
      <c r="B18" s="13">
        <v>2569</v>
      </c>
      <c r="C18" s="4">
        <v>45260</v>
      </c>
      <c r="D18" s="4">
        <v>0</v>
      </c>
      <c r="E18" s="4">
        <v>32214</v>
      </c>
      <c r="F18" s="4">
        <v>31466</v>
      </c>
      <c r="G18" s="4">
        <f>SUM(C18)</f>
        <v>45260</v>
      </c>
      <c r="H18" s="4">
        <v>108101</v>
      </c>
      <c r="I18" s="4">
        <f>G18-H18</f>
        <v>-62841</v>
      </c>
      <c r="J18" s="5">
        <f>I18/G18</f>
        <v>-1.38844454264251</v>
      </c>
      <c r="K18" t="s">
        <v>140</v>
      </c>
    </row>
    <row r="19" spans="1:11" x14ac:dyDescent="0.35">
      <c r="A19" s="13" t="s">
        <v>91</v>
      </c>
      <c r="B19" s="13">
        <v>2569</v>
      </c>
      <c r="C19" s="4">
        <v>33265</v>
      </c>
      <c r="D19" s="4">
        <v>0</v>
      </c>
      <c r="E19" s="4">
        <v>41143</v>
      </c>
      <c r="F19" s="4">
        <v>28368</v>
      </c>
      <c r="G19" s="4">
        <f>SUM(C19)</f>
        <v>33265</v>
      </c>
      <c r="H19" s="4">
        <v>127963</v>
      </c>
      <c r="I19" s="4">
        <f>G19-H19</f>
        <v>-94698</v>
      </c>
      <c r="J19" s="5">
        <f>I19/G19</f>
        <v>-2.8467758905756799</v>
      </c>
      <c r="K19" t="s">
        <v>141</v>
      </c>
    </row>
    <row r="20" spans="1:11" x14ac:dyDescent="0.35">
      <c r="A20" s="13" t="s">
        <v>93</v>
      </c>
      <c r="B20" s="13">
        <v>2569</v>
      </c>
      <c r="C20" s="4">
        <v>56370</v>
      </c>
      <c r="D20" s="4">
        <v>0</v>
      </c>
      <c r="E20" s="4">
        <v>49295</v>
      </c>
      <c r="F20" s="4">
        <v>34810</v>
      </c>
      <c r="G20" s="4">
        <f>SUM(C20)</f>
        <v>56370</v>
      </c>
      <c r="H20" s="4">
        <v>142490</v>
      </c>
      <c r="I20" s="4">
        <f>G20-H20</f>
        <v>-86120</v>
      </c>
      <c r="J20" s="5">
        <f>I20/G20</f>
        <v>-1.5277629945006208</v>
      </c>
      <c r="K20" t="s">
        <v>142</v>
      </c>
    </row>
    <row r="21" spans="1:11" x14ac:dyDescent="0.35">
      <c r="A21" s="13" t="s">
        <v>95</v>
      </c>
      <c r="B21" s="13">
        <v>2569</v>
      </c>
      <c r="C21" s="4">
        <v>44005</v>
      </c>
      <c r="D21" s="4">
        <v>0</v>
      </c>
      <c r="E21" s="4">
        <v>45812</v>
      </c>
      <c r="F21" s="4">
        <v>38655</v>
      </c>
      <c r="G21" s="4">
        <f>SUM(C21)</f>
        <v>44005</v>
      </c>
      <c r="H21" s="4">
        <v>123791</v>
      </c>
      <c r="I21" s="4">
        <f>G21-H21</f>
        <v>-79786</v>
      </c>
      <c r="J21" s="5">
        <f>I21/G21</f>
        <v>-1.8131121463470061</v>
      </c>
      <c r="K21" t="s">
        <v>143</v>
      </c>
    </row>
    <row r="22" spans="1:11" x14ac:dyDescent="0.35">
      <c r="A22" s="13" t="s">
        <v>97</v>
      </c>
      <c r="B22" s="13">
        <v>2569</v>
      </c>
      <c r="C22" s="4">
        <v>19720</v>
      </c>
      <c r="D22" s="4">
        <v>19890</v>
      </c>
      <c r="E22" s="4">
        <v>27068</v>
      </c>
      <c r="F22" s="4">
        <v>23885</v>
      </c>
      <c r="G22" s="4">
        <f>SUM(C22)</f>
        <v>19720</v>
      </c>
      <c r="H22" s="4">
        <v>107051</v>
      </c>
      <c r="I22" s="4">
        <f>G22-H22</f>
        <v>-87331</v>
      </c>
      <c r="J22" s="5">
        <f>I22/G22</f>
        <v>-4.4285496957403652</v>
      </c>
      <c r="K22" t="s">
        <v>144</v>
      </c>
    </row>
    <row r="23" spans="1:11" ht="15" thickBot="1" x14ac:dyDescent="0.4">
      <c r="A23" s="48" t="s">
        <v>99</v>
      </c>
      <c r="B23" s="48" t="s">
        <v>72</v>
      </c>
      <c r="C23" s="44">
        <f>SUM(C14:C22)</f>
        <v>473461</v>
      </c>
      <c r="D23" s="44">
        <f>SUM(D14:D22)</f>
        <v>19890</v>
      </c>
      <c r="E23" s="44">
        <f>SUM(E14:E22)</f>
        <v>387155</v>
      </c>
      <c r="F23" s="44">
        <f>SUM(F14:F22)</f>
        <v>203874</v>
      </c>
      <c r="G23" s="44">
        <f>SUM(G14:G22)</f>
        <v>473461</v>
      </c>
      <c r="H23" s="44">
        <f>SUM(H14:H22)</f>
        <v>1078975</v>
      </c>
      <c r="I23" s="44">
        <f>G23-H23</f>
        <v>-605514</v>
      </c>
      <c r="J23" s="46">
        <f>I23/G23</f>
        <v>-1.2789099841380811</v>
      </c>
      <c r="K23" s="42" t="s">
        <v>145</v>
      </c>
    </row>
    <row r="24" spans="1:11" ht="15" thickTop="1" x14ac:dyDescent="0.35">
      <c r="A24" s="49" t="s">
        <v>101</v>
      </c>
      <c r="B24" s="49" t="s">
        <v>72</v>
      </c>
      <c r="C24" s="45">
        <f>AVERAGE(C14:C22)</f>
        <v>52606.777777777781</v>
      </c>
      <c r="D24" s="45">
        <f>AVERAGE(D14:D22)</f>
        <v>2210</v>
      </c>
      <c r="E24" s="45">
        <f>AVERAGE(E14:E22)</f>
        <v>43017.222222222219</v>
      </c>
      <c r="F24" s="45">
        <f>AVERAGE(F14:F22)</f>
        <v>22652.666666666668</v>
      </c>
      <c r="G24" s="45">
        <f>AVERAGE(G14:G22)</f>
        <v>52606.777777777781</v>
      </c>
      <c r="H24" s="45">
        <f>AVERAGE(H14:H22)</f>
        <v>119886.11111111111</v>
      </c>
      <c r="I24" s="45">
        <f>G24-H24</f>
        <v>-67279.333333333328</v>
      </c>
      <c r="J24" s="47">
        <f>I24/G24</f>
        <v>-1.2789099841380809</v>
      </c>
      <c r="K24" s="4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สรุปภาพรวม</vt:lpstr>
      <vt:lpstr>รายรับรายจ่ายรายวัน_ก.ย.69</vt:lpstr>
      <vt:lpstr>ประวัติย้อนหลัง_สาขา4</vt:lpstr>
      <vt:lpstr>ประวัติย้อนหลัง_สาขา3</vt:lpstr>
      <vt:lpstr>ประวัติย้อนหลัง_สาขา1</vt:lpstr>
      <vt:lpstr>สรุปรวมปี_2569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POORIN MEESUPPAWONG</dc:creator>
  <cp:lastModifiedBy>POORIN MEESUPPAWONG</cp:lastModifiedBy>
  <dcterms:created xsi:type="dcterms:W3CDTF">2026-09-20T02:53:09Z</dcterms:created>
  <dcterms:modified xsi:type="dcterms:W3CDTF">2026-09-20T04:19:39Z</dcterms:modified>
</cp:coreProperties>
</file>