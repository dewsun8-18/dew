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ร้าน\"/>
    </mc:Choice>
  </mc:AlternateContent>
  <xr:revisionPtr revIDLastSave="0" documentId="13_ncr:1_{3869EBF5-D8B9-47F0-9D80-1C605FFFDF15}" xr6:coauthVersionLast="47" xr6:coauthVersionMax="47" xr10:uidLastSave="{00000000-0000-0000-0000-000000000000}"/>
  <bookViews>
    <workbookView xWindow="-110" yWindow="-110" windowWidth="20940" windowHeight="14020" firstSheet="1" activeTab="4" xr2:uid="{00000000-000D-0000-FFFF-FFFF00000000}"/>
  </bookViews>
  <sheets>
    <sheet name="แคตตาล็อก_สาขา2-3-4" sheetId="1" r:id="rId1"/>
    <sheet name="แคตตาล็อก_สาขา1" sheetId="2" r:id="rId2"/>
    <sheet name="ต้นทุนและราคาขาย_ทุกสินค้า" sheetId="3" r:id="rId3"/>
    <sheet name="จุดคุ้มทุน 4 สาขา" sheetId="4" r:id="rId4"/>
    <sheet name="คำนวณต้นทุนการผลิตจริง" sheetId="5" r:id="rId5"/>
  </sheets>
  <calcPr calcId="181029"/>
  <extLst>
    <ext uri="GoogleSheetsCustomDataVersion2">
      <go:sheetsCustomData xmlns:go="http://customooxmlschemas.google.com/" r:id="rId8" roundtripDataChecksum="PrNeuIL5FKZ7RI3+va0W1OmY9CN4aTNesmWEI329WQI="/>
    </ext>
  </extLst>
</workbook>
</file>

<file path=xl/calcChain.xml><?xml version="1.0" encoding="utf-8"?>
<calcChain xmlns="http://schemas.openxmlformats.org/spreadsheetml/2006/main">
  <c r="L13" i="5" l="1"/>
  <c r="K13" i="5"/>
  <c r="I13" i="5"/>
  <c r="G13" i="5"/>
  <c r="F13" i="5"/>
  <c r="E13" i="5"/>
  <c r="L12" i="5"/>
  <c r="K12" i="5"/>
  <c r="G12" i="5"/>
  <c r="F12" i="5"/>
  <c r="E12" i="5"/>
  <c r="L11" i="5"/>
  <c r="K11" i="5"/>
  <c r="I11" i="5"/>
  <c r="G11" i="5"/>
  <c r="F11" i="5"/>
  <c r="E11" i="5"/>
  <c r="L10" i="5"/>
  <c r="K10" i="5"/>
  <c r="I10" i="5"/>
  <c r="G10" i="5"/>
  <c r="F10" i="5"/>
  <c r="E10" i="5"/>
  <c r="L9" i="5"/>
  <c r="K9" i="5"/>
  <c r="I9" i="5"/>
  <c r="G9" i="5"/>
  <c r="F9" i="5"/>
  <c r="E9" i="5"/>
  <c r="L8" i="5"/>
  <c r="K8" i="5"/>
  <c r="I8" i="5"/>
  <c r="G8" i="5"/>
  <c r="F8" i="5"/>
  <c r="E8" i="5"/>
  <c r="L7" i="5"/>
  <c r="K7" i="5"/>
  <c r="I7" i="5"/>
  <c r="G7" i="5"/>
  <c r="F7" i="5"/>
  <c r="E7" i="5"/>
  <c r="L6" i="5"/>
  <c r="K6" i="5"/>
  <c r="I6" i="5"/>
  <c r="G6" i="5"/>
  <c r="F6" i="5"/>
  <c r="E6" i="5"/>
  <c r="L5" i="5"/>
  <c r="K5" i="5"/>
  <c r="I5" i="5"/>
  <c r="G5" i="5"/>
  <c r="F5" i="5"/>
  <c r="E5" i="5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C17" i="4"/>
  <c r="B17" i="4"/>
  <c r="D17" i="4" s="1"/>
  <c r="E17" i="4" s="1"/>
  <c r="C16" i="4"/>
  <c r="B16" i="4"/>
  <c r="D16" i="4" s="1"/>
  <c r="E16" i="4" s="1"/>
  <c r="C15" i="4"/>
  <c r="B15" i="4"/>
  <c r="D15" i="4" s="1"/>
  <c r="E15" i="4" s="1"/>
  <c r="C14" i="4"/>
  <c r="C18" i="4" s="1"/>
  <c r="B14" i="4"/>
  <c r="G10" i="4"/>
  <c r="C10" i="4"/>
  <c r="B10" i="4"/>
  <c r="D9" i="4"/>
  <c r="D8" i="4"/>
  <c r="D7" i="4"/>
  <c r="D6" i="4"/>
  <c r="E23" i="3"/>
  <c r="D23" i="3"/>
  <c r="K22" i="3"/>
  <c r="E22" i="3"/>
  <c r="D22" i="3"/>
  <c r="F21" i="3"/>
  <c r="F20" i="3"/>
  <c r="F19" i="3"/>
  <c r="F18" i="3"/>
  <c r="F17" i="3"/>
  <c r="F16" i="3"/>
  <c r="F15" i="3"/>
  <c r="L15" i="3" s="1"/>
  <c r="F14" i="3"/>
  <c r="F13" i="3"/>
  <c r="F12" i="3"/>
  <c r="H11" i="3"/>
  <c r="I11" i="3" s="1"/>
  <c r="F11" i="3"/>
  <c r="L11" i="3" s="1"/>
  <c r="F10" i="3"/>
  <c r="F9" i="3"/>
  <c r="F8" i="3"/>
  <c r="F7" i="3"/>
  <c r="F6" i="3"/>
  <c r="F5" i="3"/>
  <c r="H18" i="2"/>
  <c r="D18" i="2"/>
  <c r="C18" i="2"/>
  <c r="H17" i="2"/>
  <c r="D17" i="2"/>
  <c r="C17" i="2"/>
  <c r="H16" i="2"/>
  <c r="D16" i="2"/>
  <c r="C16" i="2"/>
  <c r="H15" i="2"/>
  <c r="F15" i="2"/>
  <c r="E15" i="2"/>
  <c r="D15" i="2"/>
  <c r="C15" i="2"/>
  <c r="H14" i="2"/>
  <c r="D14" i="2"/>
  <c r="C14" i="2"/>
  <c r="H13" i="2"/>
  <c r="D13" i="2"/>
  <c r="C13" i="2"/>
  <c r="H12" i="2"/>
  <c r="D12" i="2"/>
  <c r="C12" i="2"/>
  <c r="H11" i="2"/>
  <c r="E11" i="2"/>
  <c r="D11" i="2"/>
  <c r="C11" i="2"/>
  <c r="H10" i="2"/>
  <c r="D10" i="2"/>
  <c r="C10" i="2"/>
  <c r="H9" i="2"/>
  <c r="D9" i="2"/>
  <c r="H8" i="2"/>
  <c r="D8" i="2"/>
  <c r="H7" i="2"/>
  <c r="D7" i="2"/>
  <c r="C7" i="2"/>
  <c r="H6" i="2"/>
  <c r="D6" i="2"/>
  <c r="C6" i="2"/>
  <c r="H5" i="2"/>
  <c r="D5" i="2"/>
  <c r="H21" i="1"/>
  <c r="D21" i="1"/>
  <c r="C21" i="1"/>
  <c r="H20" i="1"/>
  <c r="D20" i="1"/>
  <c r="C20" i="1"/>
  <c r="H19" i="1"/>
  <c r="D19" i="1"/>
  <c r="C19" i="1"/>
  <c r="H18" i="1"/>
  <c r="D18" i="1"/>
  <c r="C18" i="1"/>
  <c r="H17" i="1"/>
  <c r="D17" i="1"/>
  <c r="C17" i="1"/>
  <c r="H16" i="1"/>
  <c r="D16" i="1"/>
  <c r="C16" i="1"/>
  <c r="H15" i="1"/>
  <c r="F15" i="1"/>
  <c r="E15" i="1"/>
  <c r="D15" i="1"/>
  <c r="C15" i="1"/>
  <c r="H14" i="1"/>
  <c r="D14" i="1"/>
  <c r="C14" i="1"/>
  <c r="H13" i="1"/>
  <c r="D13" i="1"/>
  <c r="C13" i="1"/>
  <c r="H12" i="1"/>
  <c r="D12" i="1"/>
  <c r="C12" i="1"/>
  <c r="H11" i="1"/>
  <c r="E11" i="1"/>
  <c r="D11" i="1"/>
  <c r="C11" i="1"/>
  <c r="H10" i="1"/>
  <c r="D10" i="1"/>
  <c r="C10" i="1"/>
  <c r="H9" i="1"/>
  <c r="D9" i="1"/>
  <c r="H8" i="1"/>
  <c r="D8" i="1"/>
  <c r="H7" i="1"/>
  <c r="D7" i="1"/>
  <c r="C7" i="1"/>
  <c r="H6" i="1"/>
  <c r="D6" i="1"/>
  <c r="C6" i="1"/>
  <c r="H5" i="1"/>
  <c r="D5" i="1"/>
  <c r="C5" i="2" l="1"/>
  <c r="C5" i="1"/>
  <c r="C9" i="2"/>
  <c r="C9" i="1"/>
  <c r="C8" i="2"/>
  <c r="C8" i="1"/>
  <c r="F17" i="4"/>
  <c r="H17" i="4" s="1"/>
  <c r="G17" i="4"/>
  <c r="F16" i="4"/>
  <c r="H16" i="4" s="1"/>
  <c r="G16" i="4"/>
  <c r="F15" i="4"/>
  <c r="H15" i="4" s="1"/>
  <c r="G15" i="4"/>
  <c r="D14" i="4"/>
  <c r="B18" i="4"/>
  <c r="G38" i="4"/>
  <c r="G37" i="4"/>
  <c r="G31" i="4"/>
  <c r="G36" i="4"/>
  <c r="G35" i="4"/>
  <c r="E9" i="4"/>
  <c r="F9" i="4" s="1"/>
  <c r="H9" i="4" s="1"/>
  <c r="G34" i="4"/>
  <c r="G33" i="4"/>
  <c r="G32" i="4"/>
  <c r="F38" i="4"/>
  <c r="F32" i="4"/>
  <c r="F37" i="4"/>
  <c r="E8" i="4"/>
  <c r="F8" i="4" s="1"/>
  <c r="H8" i="4" s="1"/>
  <c r="F36" i="4"/>
  <c r="F31" i="4"/>
  <c r="F35" i="4"/>
  <c r="F34" i="4"/>
  <c r="F33" i="4"/>
  <c r="E38" i="4"/>
  <c r="E31" i="4"/>
  <c r="E37" i="4"/>
  <c r="E33" i="4"/>
  <c r="E36" i="4"/>
  <c r="E7" i="4"/>
  <c r="F7" i="4" s="1"/>
  <c r="H7" i="4" s="1"/>
  <c r="E35" i="4"/>
  <c r="E32" i="4"/>
  <c r="E34" i="4"/>
  <c r="D38" i="4"/>
  <c r="D37" i="4"/>
  <c r="D36" i="4"/>
  <c r="D35" i="4"/>
  <c r="D34" i="4"/>
  <c r="D33" i="4"/>
  <c r="E6" i="4"/>
  <c r="D10" i="4"/>
  <c r="D31" i="4"/>
  <c r="D32" i="4"/>
  <c r="L21" i="3"/>
  <c r="H21" i="3"/>
  <c r="L20" i="3"/>
  <c r="H20" i="3"/>
  <c r="H19" i="3"/>
  <c r="L19" i="3"/>
  <c r="L18" i="3"/>
  <c r="H18" i="3"/>
  <c r="L17" i="3"/>
  <c r="H17" i="3"/>
  <c r="H16" i="3"/>
  <c r="L16" i="3"/>
  <c r="M15" i="3"/>
  <c r="I15" i="1"/>
  <c r="N15" i="3"/>
  <c r="I15" i="2"/>
  <c r="L14" i="3"/>
  <c r="H14" i="3"/>
  <c r="L13" i="3"/>
  <c r="H13" i="3"/>
  <c r="L12" i="3"/>
  <c r="H12" i="3"/>
  <c r="F11" i="1"/>
  <c r="F11" i="2"/>
  <c r="N11" i="3"/>
  <c r="I11" i="1"/>
  <c r="I11" i="2"/>
  <c r="M11" i="3"/>
  <c r="L10" i="3"/>
  <c r="H10" i="3"/>
  <c r="L9" i="3"/>
  <c r="H9" i="3"/>
  <c r="L8" i="3"/>
  <c r="H8" i="3"/>
  <c r="L7" i="3"/>
  <c r="H7" i="3"/>
  <c r="L6" i="3"/>
  <c r="H6" i="3"/>
  <c r="F22" i="3"/>
  <c r="L5" i="3"/>
  <c r="H5" i="3"/>
  <c r="E14" i="4" l="1"/>
  <c r="D18" i="4"/>
  <c r="F6" i="4"/>
  <c r="H6" i="4" s="1"/>
  <c r="E10" i="4"/>
  <c r="F10" i="4" s="1"/>
  <c r="H10" i="4" s="1"/>
  <c r="H31" i="4"/>
  <c r="H32" i="4"/>
  <c r="H33" i="4"/>
  <c r="H34" i="4"/>
  <c r="H35" i="4"/>
  <c r="H36" i="4"/>
  <c r="H37" i="4"/>
  <c r="H38" i="4"/>
  <c r="M21" i="3"/>
  <c r="J21" i="1" s="1"/>
  <c r="N21" i="3"/>
  <c r="K21" i="1" s="1"/>
  <c r="I21" i="1"/>
  <c r="I21" i="3"/>
  <c r="F21" i="1" s="1"/>
  <c r="E21" i="1"/>
  <c r="M20" i="3"/>
  <c r="J20" i="1" s="1"/>
  <c r="N20" i="3"/>
  <c r="K20" i="1" s="1"/>
  <c r="I20" i="1"/>
  <c r="I20" i="3"/>
  <c r="F20" i="1" s="1"/>
  <c r="E20" i="1"/>
  <c r="I19" i="3"/>
  <c r="F19" i="1" s="1"/>
  <c r="E19" i="1"/>
  <c r="M19" i="3"/>
  <c r="J19" i="1" s="1"/>
  <c r="I19" i="1"/>
  <c r="N19" i="3"/>
  <c r="K19" i="1" s="1"/>
  <c r="M18" i="3"/>
  <c r="N18" i="3"/>
  <c r="I18" i="1"/>
  <c r="I18" i="2"/>
  <c r="I18" i="3"/>
  <c r="E18" i="1"/>
  <c r="E18" i="2"/>
  <c r="M17" i="3"/>
  <c r="N17" i="3"/>
  <c r="I17" i="2"/>
  <c r="I17" i="1"/>
  <c r="I17" i="3"/>
  <c r="E17" i="1"/>
  <c r="E17" i="2"/>
  <c r="E16" i="1"/>
  <c r="I16" i="3"/>
  <c r="E16" i="2"/>
  <c r="M16" i="3"/>
  <c r="N16" i="3"/>
  <c r="I16" i="1"/>
  <c r="I16" i="2"/>
  <c r="J15" i="1"/>
  <c r="J15" i="2"/>
  <c r="K15" i="1"/>
  <c r="K15" i="2"/>
  <c r="N14" i="3"/>
  <c r="I14" i="1"/>
  <c r="I14" i="2"/>
  <c r="M14" i="3"/>
  <c r="I14" i="3"/>
  <c r="E14" i="1"/>
  <c r="E14" i="2"/>
  <c r="M13" i="3"/>
  <c r="N13" i="3"/>
  <c r="I13" i="1"/>
  <c r="I13" i="2"/>
  <c r="I13" i="3"/>
  <c r="E13" i="1"/>
  <c r="E13" i="2"/>
  <c r="I12" i="1"/>
  <c r="I12" i="2"/>
  <c r="M12" i="3"/>
  <c r="N12" i="3"/>
  <c r="E12" i="1"/>
  <c r="I12" i="3"/>
  <c r="E12" i="2"/>
  <c r="K11" i="1"/>
  <c r="K11" i="2"/>
  <c r="J11" i="2"/>
  <c r="J11" i="1"/>
  <c r="M10" i="3"/>
  <c r="N10" i="3"/>
  <c r="I10" i="2"/>
  <c r="I10" i="1"/>
  <c r="I10" i="3"/>
  <c r="E10" i="2"/>
  <c r="E10" i="1"/>
  <c r="M9" i="3"/>
  <c r="N9" i="3"/>
  <c r="I9" i="1"/>
  <c r="I9" i="2"/>
  <c r="I9" i="3"/>
  <c r="E9" i="1"/>
  <c r="E9" i="2"/>
  <c r="M8" i="3"/>
  <c r="N8" i="3"/>
  <c r="I8" i="2"/>
  <c r="I8" i="1"/>
  <c r="I8" i="3"/>
  <c r="E8" i="1"/>
  <c r="E8" i="2"/>
  <c r="M7" i="3"/>
  <c r="N7" i="3"/>
  <c r="I7" i="2"/>
  <c r="I7" i="1"/>
  <c r="I7" i="3"/>
  <c r="E7" i="1"/>
  <c r="E7" i="2"/>
  <c r="M6" i="3"/>
  <c r="N6" i="3"/>
  <c r="I6" i="2"/>
  <c r="I6" i="1"/>
  <c r="I6" i="3"/>
  <c r="E6" i="1"/>
  <c r="E6" i="2"/>
  <c r="M5" i="3"/>
  <c r="N5" i="3"/>
  <c r="I5" i="2"/>
  <c r="L22" i="3"/>
  <c r="I5" i="1"/>
  <c r="I5" i="3"/>
  <c r="E5" i="2"/>
  <c r="E5" i="1"/>
  <c r="F14" i="4" l="1"/>
  <c r="H14" i="4" s="1"/>
  <c r="G14" i="4"/>
  <c r="G18" i="4" s="1"/>
  <c r="E18" i="4"/>
  <c r="F18" i="4" s="1"/>
  <c r="H18" i="4" s="1"/>
  <c r="J18" i="1"/>
  <c r="J18" i="2"/>
  <c r="K18" i="1"/>
  <c r="K18" i="2"/>
  <c r="F18" i="1"/>
  <c r="F18" i="2"/>
  <c r="J17" i="1"/>
  <c r="J17" i="2"/>
  <c r="K17" i="2"/>
  <c r="K17" i="1"/>
  <c r="F17" i="2"/>
  <c r="F17" i="1"/>
  <c r="F16" i="1"/>
  <c r="F16" i="2"/>
  <c r="J16" i="1"/>
  <c r="J16" i="2"/>
  <c r="K16" i="2"/>
  <c r="K16" i="1"/>
  <c r="K14" i="1"/>
  <c r="K14" i="2"/>
  <c r="J14" i="1"/>
  <c r="J14" i="2"/>
  <c r="F14" i="1"/>
  <c r="F14" i="2"/>
  <c r="J13" i="1"/>
  <c r="J13" i="2"/>
  <c r="K13" i="1"/>
  <c r="K13" i="2"/>
  <c r="F13" i="1"/>
  <c r="F13" i="2"/>
  <c r="J12" i="2"/>
  <c r="J12" i="1"/>
  <c r="K12" i="1"/>
  <c r="K12" i="2"/>
  <c r="F12" i="1"/>
  <c r="F12" i="2"/>
  <c r="J10" i="1"/>
  <c r="J10" i="2"/>
  <c r="K10" i="2"/>
  <c r="K10" i="1"/>
  <c r="F10" i="1"/>
  <c r="F10" i="2"/>
  <c r="J9" i="2"/>
  <c r="J9" i="1"/>
  <c r="K9" i="1"/>
  <c r="K9" i="2"/>
  <c r="F9" i="1"/>
  <c r="F9" i="2"/>
  <c r="J8" i="1"/>
  <c r="J8" i="2"/>
  <c r="K8" i="2"/>
  <c r="K8" i="1"/>
  <c r="F8" i="2"/>
  <c r="F8" i="1"/>
  <c r="J7" i="1"/>
  <c r="J7" i="2"/>
  <c r="K7" i="1"/>
  <c r="K7" i="2"/>
  <c r="F7" i="2"/>
  <c r="F7" i="1"/>
  <c r="J6" i="1"/>
  <c r="J6" i="2"/>
  <c r="K6" i="2"/>
  <c r="K6" i="1"/>
  <c r="F6" i="2"/>
  <c r="F6" i="1"/>
  <c r="M22" i="3"/>
  <c r="J5" i="1"/>
  <c r="J5" i="2"/>
  <c r="K5" i="2"/>
  <c r="K5" i="1"/>
  <c r="F5" i="1"/>
  <c r="F5" i="2"/>
</calcChain>
</file>

<file path=xl/sharedStrings.xml><?xml version="1.0" encoding="utf-8"?>
<sst xmlns="http://schemas.openxmlformats.org/spreadsheetml/2006/main" count="329" uniqueCount="151">
  <si>
    <t>🎯 แคตตาล็อกสินค้าและโครงสร้างราคา สาขา 2, 3, 4 (ครบทุกรายการรวมของทอด)</t>
  </si>
  <si>
    <t>การวิเคราะห์จุดคุ้มทุน (Break-Even Analysis) ทั้ง 4 สาขา</t>
  </si>
  <si>
    <t>ตารางคำนวณต้นทุน ราคาขายเดิม vs ราคาขายใหม่ และผลกำไรสินค้าครบวงจร (รวม 17 รายการ)</t>
  </si>
  <si>
    <t>🏆 แคตตาล็อกสินค้าและโครงสร้างราคา สาขาที่ 1 (ครบ 13 รายการ • ไม่มีของทอด)</t>
  </si>
  <si>
    <t>สาขา 2 (เงินสด 68% เป้าพ้นขาดทุน) | สาขา 3 (แชมป์ยอดขาย กำไร +11k ถึง +16.5k/ด.) | สาขา 4 (เตาไฟฟ้า+QR Code คืนทุนค่าไฟ กำไร +7.5k ถึง +12k/ด.)</t>
  </si>
  <si>
    <t>ข้อมูลสำหรับสาขา 1 : ยอดขายเฉลี่ย ฿44,000/ด. | ต้นทุนคงที่ ฿16,500/ด. (ค่าแรง 10.5k + เช่า/ไฟ 5k) | คาดการณ์กำไรใหม่: +฿8,500 ถึง +฿13,000/ด.</t>
  </si>
  <si>
    <t>ลำดับ</t>
  </si>
  <si>
    <t>คำนวณจากราคาขายไม้ละ 10 บาท (กำไรขั้นต้นเฉลี่ย 5.15 บาท/ไม้) เทียบกับค่าแรงและค่าเช่าคงที่แต่ละสาขา</t>
  </si>
  <si>
    <t>อัปเดตล่าสุด: เพิ่มหมูปิ้งนมสด (300บ./52ไม้), ไส้กรอกอีสาน (105บ./32ชิ้น), ข้าวเหนียว, ของทอด และ จ๊อห้าดาว (150บ./11ไม้ ขาย 25บ.)</t>
  </si>
  <si>
    <t>รายการสินค้า (สาขา 1)</t>
  </si>
  <si>
    <t>ต้นทุนเนื้อ/หน่วย</t>
  </si>
  <si>
    <t>ราคาเดิม (บาท)</t>
  </si>
  <si>
    <t>กำไรเดิม (บาท)</t>
  </si>
  <si>
    <t>Margin เดิม</t>
  </si>
  <si>
    <t>สถานะเดิม</t>
  </si>
  <si>
    <t>ราคาใหม่ (บาท)</t>
  </si>
  <si>
    <t>กำไรใหม่ (บาท)</t>
  </si>
  <si>
    <t>Margin ใหม่</t>
  </si>
  <si>
    <t>กำไรเพิ่มขึ้น</t>
  </si>
  <si>
    <t>สถานะใหม่</t>
  </si>
  <si>
    <t>รายการสินค้า (สาขา 2, 3, 4)</t>
  </si>
  <si>
    <t>ฮอตเม็ด</t>
  </si>
  <si>
    <t>1. จุดคุ้มทุนรายวัน (Daily Break-Even Point)</t>
  </si>
  <si>
    <t>สาขา</t>
  </si>
  <si>
    <t>ค่าแรง/วัน (บาท)</t>
  </si>
  <si>
    <t>ค่าเช่าเฉลี่ย/วัน (บาท)</t>
  </si>
  <si>
    <t>ต้นทุนคงที่รวม/วัน (บาท)</t>
  </si>
  <si>
    <t>ยอดขายคุ้มทุน (ไม้/วัน)</t>
  </si>
  <si>
    <t>ยอดขายคุ้มทุน (บาท/วัน)</t>
  </si>
  <si>
    <t>ยอดขายจริงปัจจุบัน (บาท/วัน)</t>
  </si>
  <si>
    <t>สถานะความปลอดภัย</t>
  </si>
  <si>
    <t>รายการสินค้า</t>
  </si>
  <si>
    <t>หมวดหมู่</t>
  </si>
  <si>
    <t>ต้นทุน/แพ็คหรือถุง (บาท)</t>
  </si>
  <si>
    <t>สาขา 1</t>
  </si>
  <si>
    <t>จำนวนหน่วย/แพ็ค</t>
  </si>
  <si>
    <t>ต้นทุน/หน่วย (บาท)</t>
  </si>
  <si>
    <t>กำไรเพิ่มขึ้น (บาท)</t>
  </si>
  <si>
    <t>สาขาที่มีจำหน่าย</t>
  </si>
  <si>
    <t>ลูกชิ้นทั่วไป</t>
  </si>
  <si>
    <t>🟢 Hero Product</t>
  </si>
  <si>
    <t>🟢 คงเดิม (ป้าย 10 บ. เรียกลูกค้า)</t>
  </si>
  <si>
    <t>หมูนิ่ม</t>
  </si>
  <si>
    <t>🟢 กำไรดีมาก</t>
  </si>
  <si>
    <t>สาขา 2</t>
  </si>
  <si>
    <t>ทุกสาขา (สาขา 1-4)</t>
  </si>
  <si>
    <t>🟢 คงเดิม (ตัวหลักยอดขาย)</t>
  </si>
  <si>
    <t>ปลากลม</t>
  </si>
  <si>
    <t>สาขา 3</t>
  </si>
  <si>
    <t>🟡 มาตรฐาน</t>
  </si>
  <si>
    <t>สาขา 4</t>
  </si>
  <si>
    <t>รวม 4 สาขา</t>
  </si>
  <si>
    <t>🟡 ปลอดภัย (คงเดิม 10 บ.)</t>
  </si>
  <si>
    <t>N หมู</t>
  </si>
  <si>
    <t>N เนื้อ</t>
  </si>
  <si>
    <t>เชฟ</t>
  </si>
  <si>
    <t>ลูกชิ้นพรีเมียม</t>
  </si>
  <si>
    <t>2. จุดคุ้มทุนรายเดือน (Monthly Break-Even Point : 30 วัน)</t>
  </si>
  <si>
    <t>🟠 กำไรเริ่มบาง</t>
  </si>
  <si>
    <t>ค่าแรง/เดือน (บาท)</t>
  </si>
  <si>
    <t>🟢 ฟื้นมาร์จิ้นสูง สุขภาพดี</t>
  </si>
  <si>
    <t>ค่าเช่าร้าน/เดือน (บาท)</t>
  </si>
  <si>
    <t>ต้นทุนคงที่รวม/เดือน (บาท)</t>
  </si>
  <si>
    <t>ยอดขายคุ้มทุน (ไม้/เดือน)</t>
  </si>
  <si>
    <t>ยอดขายคุ้มทุน (บาท/เดือน)</t>
  </si>
  <si>
    <t>หมูปิ้งนมสด 🔥</t>
  </si>
  <si>
    <t>เทียบเท่าจำนวนแพ็ค (แพ็ค/เดือน)</t>
  </si>
  <si>
    <t>หมูปิ้ง &amp; ข้าวเหนียว</t>
  </si>
  <si>
    <t>ยอดขายเฉลี่ย/วัน (เป้าหมาย)</t>
  </si>
  <si>
    <t>🟠 กำไรบาง (ไม่พอกิน)</t>
  </si>
  <si>
    <t>👑 พระเอกสร้างกำไร (ชุด 50 บ.)</t>
  </si>
  <si>
    <t>จัมโบ้</t>
  </si>
  <si>
    <t>🔴 กำไรต่ำ เสี่ยงขาดทุน</t>
  </si>
  <si>
    <t>🟢 พ้นจุดขาดทุน ปลอดภัย</t>
  </si>
  <si>
    <t>หมูยอ</t>
  </si>
  <si>
    <t>🔴 กินเนื้อตัวเอง</t>
  </si>
  <si>
    <t>🟢 พรีเมียมกำไรหนา (12-15 บ.)</t>
  </si>
  <si>
    <t>จ๊อเหลี่ยม</t>
  </si>
  <si>
    <t>จ๊อห้าดาว ⭐⭐⭐⭐⭐</t>
  </si>
  <si>
    <t>ซูเปอร์พรีเมียม</t>
  </si>
  <si>
    <t>-</t>
  </si>
  <si>
    <t>🟡 สินค้าใหม่</t>
  </si>
  <si>
    <t>3. จำลองจุดคุ้มทุนหากขายเฉพาะสินค้ารายการนั้นๆ (กรณีขายเฉพาะรายการเดียวใน 1 วัน)</t>
  </si>
  <si>
    <t>⭐ ไฮเอนด์ กำไรสูงสุดต่อไม้ (฿11.36)</t>
  </si>
  <si>
    <t>ไส้กรอกอีสาน 🌭</t>
  </si>
  <si>
    <t>ต้นทุน/ไม้ (บาท)</t>
  </si>
  <si>
    <t>ไส้กรอกอีสาน</t>
  </si>
  <si>
    <t>กำไร/ไม้ (บาท)</t>
  </si>
  <si>
    <t>สาขา 1 (ไม้/วัน)</t>
  </si>
  <si>
    <t>สาขา 2 (ไม้/วัน)</t>
  </si>
  <si>
    <t>สาขา 3 (ไม้/วัน)</t>
  </si>
  <si>
    <t>สาขา 4 (ไม้/วัน)</t>
  </si>
  <si>
    <t>รวม 4 สาขา (ไม้/วัน)</t>
  </si>
  <si>
    <t>🔴 ขาดทุนแฝง แย่สุดในร้าน</t>
  </si>
  <si>
    <t>🟢 พลิกกำไรพุ่ง 2 เท่า (3 ชิ้น 20)</t>
  </si>
  <si>
    <t>ข้าวเหนียว 5 บ. (100g) 🍚</t>
  </si>
  <si>
    <t>🟢 ตัวดึง Margin หลัก (61%)</t>
  </si>
  <si>
    <t>ข้าวเหนียว 10 บ. (130g) 🍚</t>
  </si>
  <si>
    <t>🟢 กำไรสูงสุดในร้าน</t>
  </si>
  <si>
    <t>🟢 Super Margin สูงสุด (75.5%)</t>
  </si>
  <si>
    <t>กล้วยทอด 🍌</t>
  </si>
  <si>
    <t>ของทอด</t>
  </si>
  <si>
    <t>🟡 บิลเล็ก (3 ชิ้น 10 บ.)</t>
  </si>
  <si>
    <t>🟢 ขยับบิลเป็นชุด 20 บ. (6 ชิ้น)</t>
  </si>
  <si>
    <t>เฉพาะ สาขา 2, 3, 4</t>
  </si>
  <si>
    <t>มันทอด 🍠</t>
  </si>
  <si>
    <t>ขนมไข่เต่า 🥚</t>
  </si>
  <si>
    <t>🟡 บิลเล็ก ลูกค้าไม่อิ่ม</t>
  </si>
  <si>
    <t>🟢 ชุดยอดฮิต กินเพลิน (7 ลูก)</t>
  </si>
  <si>
    <t>หมูปิ้งนมสด (ราคาใหม่ 12 บ.)</t>
  </si>
  <si>
    <t>เฉลี่ยสินค้ากลุ่มไม้ (1-11)</t>
  </si>
  <si>
    <t>จ๊อห้าดาว ⭐ (ราคาใหม่ 25 บ.)</t>
  </si>
  <si>
    <t>ไส้กรอกอีสาน 🌭 (ราคาใหม่ 7 บ.)</t>
  </si>
  <si>
    <t>ข้าวเหนียว 5 บ. (100g)</t>
  </si>
  <si>
    <t>รวมต้นทุนและกำไรต่อรอบ (อย่างละ 1 แพ็ค)</t>
  </si>
  <si>
    <t>ข้าวเหนียว 10 บ. (130g)</t>
  </si>
  <si>
    <t>กล้วยทอด (ชุด 20 บ. 6 ชิ้น)</t>
  </si>
  <si>
    <t>มันทอด (ชุด 20 บ. 6 ชิ้น)</t>
  </si>
  <si>
    <t>ขนมไข่เต่า (ชุด 20 บ. 7 ลูก)</t>
  </si>
  <si>
    <t>🔴 ทุนพุ่ง (ได้ 11 ไม้) กินเนื้อตัวเอง</t>
  </si>
  <si>
    <t>🔬 ตารางวิเคราะห์ต้นทุนการผลิตจริง (Actual Production Yield Analysis)</t>
  </si>
  <si>
    <t>เปรียบเทียบต้นทุนต่อไม้และกำไร: กรณีได้ผลผลิตขั้นต่ำ vs ค่าเฉลี่ย vs สูงสุด ตามข้อมูลหน้าเตาจริง</t>
  </si>
  <si>
    <t>ต้นทุน/ถุง (บ.)</t>
  </si>
  <si>
    <t>จำนวนไม้ผลิตจริง</t>
  </si>
  <si>
    <t>ทุนกรณี Min (บ./ไม้)</t>
  </si>
  <si>
    <t>ทุนเฉลี่ย (บ./ไม้)</t>
  </si>
  <si>
    <t>ทุนกรณี Max (บ./ไม้)</t>
  </si>
  <si>
    <t>ราคาเดิม (บ.)</t>
  </si>
  <si>
    <t>กำไรเฉลี่ยเดิม (บ.)</t>
  </si>
  <si>
    <t>ราคาใหม่ (บ.)</t>
  </si>
  <si>
    <t>กำไรเฉลี่ยใหม่ (บ.)</t>
  </si>
  <si>
    <t>ข้อวิเคราะห์และคำแนะนำเชิงกลยุทธ์</t>
  </si>
  <si>
    <t>18 - 20 ไม้</t>
  </si>
  <si>
    <t>🟢 กำไรดีมาก (มาร์จิ้น 68%) ป้าย 10 บ. เรียกลูกค้าดีเยี่ยม</t>
  </si>
  <si>
    <t>12 - 13 ไม้</t>
  </si>
  <si>
    <t>🟡 ต้นทุนขยับขึ้นเป็น ฿4.80 กำไร ฿5.20 ยังอยู่ในเกณฑ์ปลอดภัย</t>
  </si>
  <si>
    <t>เอ็นหมู (N หมู)</t>
  </si>
  <si>
    <t>14 - 15 ไม้</t>
  </si>
  <si>
    <t>🟢 เยี่ยมมาก! เสียบได้เยอะขึ้น ทุนลดเหลือ ฿4.48 กำไรพุ่ง 55%</t>
  </si>
  <si>
    <t>เอ็นเนื้อ (N เนื้อ)</t>
  </si>
  <si>
    <t>11 ไม้คงที่</t>
  </si>
  <si>
    <t>🚨 สำคัญสุด! ทุนพุ่งเป็น ฿6.36 ขาย 10บ.กำไรบางมาก ต้องขาย 12บ.เท่านั้น</t>
  </si>
  <si>
    <t>12 ไม้คงที่</t>
  </si>
  <si>
    <t>🟢 ทุน ฿6.25 ขายราคาใหม่ 12 บ. กำไรหนา ฿5.75 (48%)</t>
  </si>
  <si>
    <t>14 ไม้คงที่</t>
  </si>
  <si>
    <t>🟢 ทุน ฿6.07 ขายราคาใหม่ 12 บ. กำไร ฿5.93 พ้นจุดเสี่ยงขาดทุน</t>
  </si>
  <si>
    <t>จ๊อ5ดาว ⭐</t>
  </si>
  <si>
    <t>👑 ไฮเอนด์ กำไรสูงสุดในร้าน ฿11.36/ไม้ ขาย 40 กว่าไม้คืนทุน Fixed Cost</t>
  </si>
  <si>
    <t>ปลาระเบิด 💥</t>
  </si>
  <si>
    <t>22 - 23 ไม้</t>
  </si>
  <si>
    <t>⭐ Super Hero! ทุนต่ำสุด ฿2.67 กำไรสูง ฿7.33/ไม้ (73%) *ประมาณการทุน 60บ.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</si>
</sst>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฿#,##0.00"/>
    <numFmt numFmtId="165" formatCode="0.0%"/>
    <numFmt numFmtId="166" formatCode="#,##0.0"/>
    <numFmt numFmtId="167" formatCode="\฿#,##0"/>
    <numFmt numFmtId="168" formatCode="\+\฿#,##0.00;\-\฿#,##0.00;0.00"/>
  </numFmts>
  <fonts count="19">
    <font>
      <sz val="11"/>
      <color theme="1"/>
      <name val="Calibri"/>
      <scheme val="minor"/>
    </font>
    <font>
      <b/>
      <sz val="14"/>
      <color theme="1"/>
      <name val="Prompt"/>
    </font>
    <font>
      <b/>
      <sz val="15"/>
      <color rgb="FFFFFFFF"/>
      <name val="Tahoma"/>
    </font>
    <font>
      <sz val="10"/>
      <color rgb="FF8B7464"/>
      <name val="Calibri"/>
    </font>
    <font>
      <sz val="11"/>
      <name val="Calibri"/>
    </font>
    <font>
      <b/>
      <sz val="14"/>
      <color rgb="FFFFFFFF"/>
      <name val="Prompt"/>
    </font>
    <font>
      <b/>
      <sz val="11"/>
      <color rgb="FFFFFFFF"/>
      <name val="Prompt"/>
    </font>
    <font>
      <sz val="10"/>
      <color rgb="FF8B7464"/>
      <name val="Tahoma"/>
    </font>
    <font>
      <sz val="11"/>
      <color theme="1"/>
      <name val="Calibri"/>
    </font>
    <font>
      <sz val="10"/>
      <color rgb="FF555555"/>
      <name val="Tahoma"/>
    </font>
    <font>
      <sz val="11"/>
      <color theme="1"/>
      <name val="Tahoma"/>
    </font>
    <font>
      <b/>
      <sz val="11"/>
      <color rgb="FF7E231A"/>
      <name val="Tahoma"/>
    </font>
    <font>
      <b/>
      <sz val="10"/>
      <color rgb="FFFFFFFF"/>
      <name val="Tahoma"/>
    </font>
    <font>
      <b/>
      <sz val="11"/>
      <color rgb="FF327D2E"/>
      <name val="Tahoma"/>
    </font>
    <font>
      <b/>
      <sz val="11"/>
      <color theme="1"/>
      <name val="Tahoma"/>
    </font>
    <font>
      <b/>
      <sz val="11"/>
      <color theme="1"/>
      <name val="Calibri"/>
    </font>
    <font>
      <b/>
      <sz val="14"/>
      <color theme="1"/>
      <name val="Prompt"/>
      <charset val="222"/>
    </font>
    <font>
      <sz val="10"/>
      <color rgb="FF8B7464"/>
      <name val="Calibri"/>
      <family val="2"/>
      <scheme val="minor"/>
    </font>
    <font>
      <b/>
      <sz val="11"/>
      <color rgb="FFFFFFFF"/>
      <name val="Prompt"/>
      <charset val="222"/>
    </font>
  </fonts>
  <fills count="28">
    <fill>
      <patternFill patternType="none"/>
    </fill>
    <fill>
      <patternFill patternType="gray125"/>
    </fill>
    <fill>
      <patternFill patternType="solid">
        <fgColor rgb="FF7E231A"/>
        <bgColor rgb="FF7E231A"/>
      </patternFill>
    </fill>
    <fill>
      <patternFill patternType="solid">
        <fgColor rgb="FF205E1B"/>
        <bgColor rgb="FF205E1B"/>
      </patternFill>
    </fill>
    <fill>
      <patternFill patternType="solid">
        <fgColor rgb="FF581C87"/>
        <bgColor rgb="FF581C87"/>
      </patternFill>
    </fill>
    <fill>
      <patternFill patternType="solid">
        <fgColor rgb="FF855907"/>
        <bgColor rgb="FF855907"/>
      </patternFill>
    </fill>
    <fill>
      <patternFill patternType="solid">
        <fgColor rgb="FFFFF5FA"/>
        <bgColor rgb="FFFFF5FA"/>
      </patternFill>
    </fill>
    <fill>
      <patternFill patternType="solid">
        <fgColor rgb="FFFFF9F0"/>
        <bgColor rgb="FFFFF9F0"/>
      </patternFill>
    </fill>
    <fill>
      <patternFill patternType="solid">
        <fgColor rgb="FF933528"/>
        <bgColor rgb="FF933528"/>
      </patternFill>
    </fill>
    <fill>
      <patternFill patternType="solid">
        <fgColor rgb="FF1E3070"/>
        <bgColor rgb="FF1E3070"/>
      </patternFill>
    </fill>
    <fill>
      <patternFill patternType="solid">
        <fgColor rgb="FFFBFAF9"/>
        <bgColor rgb="FFFBFAF9"/>
      </patternFill>
    </fill>
    <fill>
      <patternFill patternType="solid">
        <fgColor rgb="FFF9F4F3"/>
        <bgColor rgb="FFF9F4F3"/>
      </patternFill>
    </fill>
    <fill>
      <patternFill patternType="solid">
        <fgColor rgb="FFF4F9F4"/>
        <bgColor rgb="FFF4F9F4"/>
      </patternFill>
    </fill>
    <fill>
      <patternFill patternType="solid">
        <fgColor rgb="FFE9CAC5"/>
        <bgColor rgb="FFE9CAC5"/>
      </patternFill>
    </fill>
    <fill>
      <patternFill patternType="solid">
        <fgColor rgb="FF9F3F30"/>
        <bgColor rgb="FF9F3F30"/>
      </patternFill>
    </fill>
    <fill>
      <patternFill patternType="solid">
        <fgColor rgb="FFE9F5E8"/>
        <bgColor rgb="FFE9F5E8"/>
      </patternFill>
    </fill>
    <fill>
      <patternFill patternType="solid">
        <fgColor rgb="FFFCF0F8"/>
        <bgColor rgb="FFFCF0F8"/>
      </patternFill>
    </fill>
    <fill>
      <patternFill patternType="solid">
        <fgColor rgb="FFC9E6C8"/>
        <bgColor rgb="FFC9E6C8"/>
      </patternFill>
    </fill>
    <fill>
      <patternFill patternType="solid">
        <fgColor rgb="FFAB4939"/>
        <bgColor rgb="FFAB4939"/>
      </patternFill>
    </fill>
    <fill>
      <patternFill patternType="solid">
        <fgColor rgb="FFF3E7FC"/>
        <bgColor rgb="FFF3E7FC"/>
      </patternFill>
    </fill>
    <fill>
      <patternFill patternType="solid">
        <fgColor rgb="FFF0E8E2"/>
        <bgColor rgb="FFF0E8E2"/>
      </patternFill>
    </fill>
    <fill>
      <patternFill patternType="solid">
        <fgColor rgb="FFF9F5F1"/>
        <bgColor rgb="FFF9F5F1"/>
      </patternFill>
    </fill>
    <fill>
      <patternFill patternType="solid">
        <fgColor rgb="FFC7F3FE"/>
        <bgColor rgb="FFC7F3FE"/>
      </patternFill>
    </fill>
    <fill>
      <patternFill patternType="solid">
        <fgColor rgb="FFE5FAD1"/>
        <bgColor rgb="FFE5FAD1"/>
      </patternFill>
    </fill>
    <fill>
      <patternFill patternType="solid">
        <fgColor rgb="FF8A3A1E"/>
        <bgColor indexed="64"/>
      </patternFill>
    </fill>
    <fill>
      <patternFill patternType="solid">
        <fgColor rgb="FFFCFAF8"/>
        <bgColor indexed="64"/>
      </patternFill>
    </fill>
    <fill>
      <patternFill patternType="solid">
        <fgColor rgb="FFE2E2FE"/>
        <bgColor indexed="64"/>
      </patternFill>
    </fill>
    <fill>
      <patternFill patternType="solid">
        <fgColor rgb="FFC7F3F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0E8E2"/>
      </left>
      <right style="thin">
        <color rgb="FFF0E8E2"/>
      </right>
      <top style="thin">
        <color rgb="FFF0E8E2"/>
      </top>
      <bottom style="thin">
        <color rgb="FFF0E8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1D5CB"/>
      </left>
      <right style="thin">
        <color rgb="FFE1D5CB"/>
      </right>
      <top style="thin">
        <color rgb="FFE1D5CB"/>
      </top>
      <bottom style="thin">
        <color rgb="FFE1D5C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CCCCC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3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0" fontId="8" fillId="0" borderId="4" xfId="0" applyFont="1" applyBorder="1"/>
    <xf numFmtId="0" fontId="10" fillId="0" borderId="0" xfId="0" applyFont="1"/>
    <xf numFmtId="0" fontId="8" fillId="7" borderId="4" xfId="0" applyFont="1" applyFill="1" applyBorder="1"/>
    <xf numFmtId="0" fontId="12" fillId="8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164" fontId="8" fillId="0" borderId="4" xfId="0" applyNumberFormat="1" applyFont="1" applyBorder="1"/>
    <xf numFmtId="0" fontId="10" fillId="0" borderId="5" xfId="0" applyFont="1" applyBorder="1" applyAlignment="1">
      <alignment horizontal="center"/>
    </xf>
    <xf numFmtId="4" fontId="10" fillId="0" borderId="5" xfId="0" applyNumberFormat="1" applyFont="1" applyBorder="1"/>
    <xf numFmtId="3" fontId="8" fillId="0" borderId="4" xfId="0" applyNumberFormat="1" applyFont="1" applyBorder="1"/>
    <xf numFmtId="0" fontId="10" fillId="10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left"/>
    </xf>
    <xf numFmtId="4" fontId="10" fillId="0" borderId="6" xfId="0" applyNumberFormat="1" applyFont="1" applyBorder="1" applyAlignment="1">
      <alignment horizontal="center"/>
    </xf>
    <xf numFmtId="165" fontId="8" fillId="0" borderId="4" xfId="0" applyNumberFormat="1" applyFont="1" applyBorder="1"/>
    <xf numFmtId="166" fontId="10" fillId="0" borderId="6" xfId="0" applyNumberFormat="1" applyFont="1" applyBorder="1"/>
    <xf numFmtId="167" fontId="8" fillId="0" borderId="4" xfId="0" applyNumberFormat="1" applyFont="1" applyBorder="1"/>
    <xf numFmtId="3" fontId="10" fillId="0" borderId="5" xfId="0" applyNumberFormat="1" applyFont="1" applyBorder="1" applyAlignment="1">
      <alignment horizontal="center"/>
    </xf>
    <xf numFmtId="164" fontId="10" fillId="0" borderId="6" xfId="0" applyNumberFormat="1" applyFont="1" applyBorder="1"/>
    <xf numFmtId="3" fontId="10" fillId="0" borderId="6" xfId="0" applyNumberFormat="1" applyFont="1" applyBorder="1" applyAlignment="1">
      <alignment horizontal="center"/>
    </xf>
    <xf numFmtId="168" fontId="8" fillId="0" borderId="4" xfId="0" applyNumberFormat="1" applyFont="1" applyBorder="1"/>
    <xf numFmtId="165" fontId="10" fillId="0" borderId="6" xfId="0" applyNumberFormat="1" applyFont="1" applyBorder="1"/>
    <xf numFmtId="167" fontId="8" fillId="0" borderId="6" xfId="0" applyNumberFormat="1" applyFont="1" applyBorder="1" applyAlignment="1">
      <alignment horizontal="center"/>
    </xf>
    <xf numFmtId="164" fontId="8" fillId="0" borderId="6" xfId="0" applyNumberFormat="1" applyFont="1" applyBorder="1"/>
    <xf numFmtId="0" fontId="13" fillId="0" borderId="5" xfId="0" applyFont="1" applyBorder="1" applyAlignment="1">
      <alignment horizontal="center"/>
    </xf>
    <xf numFmtId="165" fontId="8" fillId="0" borderId="6" xfId="0" applyNumberFormat="1" applyFont="1" applyBorder="1"/>
    <xf numFmtId="0" fontId="10" fillId="11" borderId="5" xfId="0" applyFont="1" applyFill="1" applyBorder="1" applyAlignment="1">
      <alignment horizontal="center"/>
    </xf>
    <xf numFmtId="168" fontId="8" fillId="0" borderId="6" xfId="0" applyNumberFormat="1" applyFont="1" applyBorder="1"/>
    <xf numFmtId="4" fontId="10" fillId="11" borderId="5" xfId="0" applyNumberFormat="1" applyFont="1" applyFill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3" fontId="10" fillId="11" borderId="5" xfId="0" applyNumberFormat="1" applyFont="1" applyFill="1" applyBorder="1" applyAlignment="1">
      <alignment horizontal="center"/>
    </xf>
    <xf numFmtId="0" fontId="10" fillId="12" borderId="6" xfId="0" applyFont="1" applyFill="1" applyBorder="1" applyAlignment="1">
      <alignment horizontal="left"/>
    </xf>
    <xf numFmtId="4" fontId="10" fillId="12" borderId="6" xfId="0" applyNumberFormat="1" applyFont="1" applyFill="1" applyBorder="1" applyAlignment="1">
      <alignment horizontal="center"/>
    </xf>
    <xf numFmtId="166" fontId="10" fillId="12" borderId="6" xfId="0" applyNumberFormat="1" applyFont="1" applyFill="1" applyBorder="1"/>
    <xf numFmtId="0" fontId="13" fillId="11" borderId="5" xfId="0" applyFont="1" applyFill="1" applyBorder="1" applyAlignment="1">
      <alignment horizontal="center"/>
    </xf>
    <xf numFmtId="164" fontId="10" fillId="12" borderId="6" xfId="0" applyNumberFormat="1" applyFont="1" applyFill="1" applyBorder="1"/>
    <xf numFmtId="3" fontId="10" fillId="12" borderId="6" xfId="0" applyNumberFormat="1" applyFont="1" applyFill="1" applyBorder="1" applyAlignment="1">
      <alignment horizontal="center"/>
    </xf>
    <xf numFmtId="165" fontId="10" fillId="12" borderId="6" xfId="0" applyNumberFormat="1" applyFont="1" applyFill="1" applyBorder="1"/>
    <xf numFmtId="0" fontId="14" fillId="13" borderId="7" xfId="0" applyFont="1" applyFill="1" applyBorder="1" applyAlignment="1">
      <alignment horizontal="center"/>
    </xf>
    <xf numFmtId="4" fontId="14" fillId="13" borderId="7" xfId="0" applyNumberFormat="1" applyFont="1" applyFill="1" applyBorder="1"/>
    <xf numFmtId="3" fontId="14" fillId="13" borderId="7" xfId="0" applyNumberFormat="1" applyFont="1" applyFill="1" applyBorder="1" applyAlignment="1">
      <alignment horizontal="center"/>
    </xf>
    <xf numFmtId="0" fontId="13" fillId="13" borderId="7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4" fontId="14" fillId="15" borderId="6" xfId="0" applyNumberFormat="1" applyFont="1" applyFill="1" applyBorder="1" applyAlignment="1">
      <alignment horizontal="center"/>
    </xf>
    <xf numFmtId="166" fontId="14" fillId="15" borderId="6" xfId="0" applyNumberFormat="1" applyFont="1" applyFill="1" applyBorder="1"/>
    <xf numFmtId="164" fontId="14" fillId="15" borderId="6" xfId="0" applyNumberFormat="1" applyFont="1" applyFill="1" applyBorder="1"/>
    <xf numFmtId="3" fontId="14" fillId="15" borderId="6" xfId="0" applyNumberFormat="1" applyFont="1" applyFill="1" applyBorder="1" applyAlignment="1">
      <alignment horizontal="center"/>
    </xf>
    <xf numFmtId="165" fontId="14" fillId="15" borderId="6" xfId="0" applyNumberFormat="1" applyFont="1" applyFill="1" applyBorder="1"/>
    <xf numFmtId="0" fontId="10" fillId="16" borderId="6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4" fontId="14" fillId="17" borderId="6" xfId="0" applyNumberFormat="1" applyFont="1" applyFill="1" applyBorder="1" applyAlignment="1">
      <alignment horizontal="center"/>
    </xf>
    <xf numFmtId="166" fontId="14" fillId="17" borderId="6" xfId="0" applyNumberFormat="1" applyFont="1" applyFill="1" applyBorder="1"/>
    <xf numFmtId="164" fontId="14" fillId="17" borderId="6" xfId="0" applyNumberFormat="1" applyFont="1" applyFill="1" applyBorder="1" applyAlignment="1">
      <alignment horizontal="center"/>
    </xf>
    <xf numFmtId="3" fontId="14" fillId="17" borderId="6" xfId="0" applyNumberFormat="1" applyFont="1" applyFill="1" applyBorder="1" applyAlignment="1">
      <alignment horizontal="center"/>
    </xf>
    <xf numFmtId="164" fontId="14" fillId="17" borderId="6" xfId="0" applyNumberFormat="1" applyFont="1" applyFill="1" applyBorder="1"/>
    <xf numFmtId="165" fontId="14" fillId="17" borderId="6" xfId="0" applyNumberFormat="1" applyFont="1" applyFill="1" applyBorder="1"/>
    <xf numFmtId="0" fontId="12" fillId="18" borderId="4" xfId="0" applyFont="1" applyFill="1" applyBorder="1" applyAlignment="1">
      <alignment horizontal="center" vertical="center" wrapText="1"/>
    </xf>
    <xf numFmtId="4" fontId="8" fillId="0" borderId="6" xfId="0" applyNumberFormat="1" applyFont="1" applyBorder="1"/>
    <xf numFmtId="0" fontId="10" fillId="0" borderId="4" xfId="0" applyFont="1" applyBorder="1" applyAlignment="1">
      <alignment horizontal="center"/>
    </xf>
    <xf numFmtId="166" fontId="8" fillId="0" borderId="6" xfId="0" applyNumberFormat="1" applyFont="1" applyBorder="1"/>
    <xf numFmtId="164" fontId="10" fillId="0" borderId="4" xfId="0" applyNumberFormat="1" applyFont="1" applyBorder="1"/>
    <xf numFmtId="3" fontId="8" fillId="0" borderId="6" xfId="0" applyNumberFormat="1" applyFont="1" applyBorder="1" applyAlignment="1">
      <alignment horizontal="center"/>
    </xf>
    <xf numFmtId="3" fontId="10" fillId="0" borderId="4" xfId="0" applyNumberFormat="1" applyFont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9" borderId="4" xfId="0" applyFont="1" applyFill="1" applyBorder="1"/>
    <xf numFmtId="0" fontId="10" fillId="11" borderId="4" xfId="0" applyFont="1" applyFill="1" applyBorder="1" applyAlignment="1">
      <alignment horizontal="center"/>
    </xf>
    <xf numFmtId="164" fontId="10" fillId="11" borderId="4" xfId="0" applyNumberFormat="1" applyFont="1" applyFill="1" applyBorder="1"/>
    <xf numFmtId="3" fontId="10" fillId="11" borderId="4" xfId="0" applyNumberFormat="1" applyFont="1" applyFill="1" applyBorder="1" applyAlignment="1">
      <alignment horizontal="center"/>
    </xf>
    <xf numFmtId="0" fontId="15" fillId="20" borderId="6" xfId="0" applyFont="1" applyFill="1" applyBorder="1" applyAlignment="1">
      <alignment horizontal="center"/>
    </xf>
    <xf numFmtId="0" fontId="8" fillId="21" borderId="4" xfId="0" applyFont="1" applyFill="1" applyBorder="1"/>
    <xf numFmtId="0" fontId="8" fillId="22" borderId="4" xfId="0" applyFont="1" applyFill="1" applyBorder="1"/>
    <xf numFmtId="167" fontId="8" fillId="0" borderId="6" xfId="0" applyNumberFormat="1" applyFont="1" applyBorder="1"/>
    <xf numFmtId="0" fontId="15" fillId="23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24" borderId="6" xfId="0" applyFont="1" applyFill="1" applyBorder="1" applyAlignment="1">
      <alignment horizontal="center" vertical="center" wrapText="1"/>
    </xf>
    <xf numFmtId="0" fontId="0" fillId="25" borderId="6" xfId="0" applyFill="1" applyBorder="1" applyAlignment="1">
      <alignment horizontal="center"/>
    </xf>
    <xf numFmtId="0" fontId="0" fillId="0" borderId="6" xfId="0" applyBorder="1"/>
    <xf numFmtId="164" fontId="0" fillId="0" borderId="6" xfId="0" applyNumberFormat="1" applyBorder="1"/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0" fillId="26" borderId="6" xfId="0" applyFill="1" applyBorder="1" applyAlignment="1">
      <alignment horizontal="center"/>
    </xf>
    <xf numFmtId="0" fontId="0" fillId="27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defaultColWidth="14.453125" defaultRowHeight="15" customHeight="1"/>
  <cols>
    <col min="1" max="1" width="117.81640625" customWidth="1"/>
    <col min="2" max="2" width="23.81640625" customWidth="1"/>
    <col min="3" max="3" width="11.7265625" customWidth="1"/>
    <col min="4" max="5" width="5.81640625" customWidth="1"/>
    <col min="6" max="6" width="7.81640625" customWidth="1"/>
    <col min="7" max="7" width="24.453125" customWidth="1"/>
    <col min="8" max="8" width="5.81640625" customWidth="1"/>
    <col min="9" max="9" width="6.453125" customWidth="1"/>
    <col min="10" max="10" width="7.81640625" customWidth="1"/>
    <col min="11" max="11" width="7.453125" customWidth="1"/>
    <col min="12" max="12" width="32.453125" customWidth="1"/>
    <col min="13" max="26" width="8.7265625" customWidth="1"/>
  </cols>
  <sheetData>
    <row r="1" spans="1:12" ht="14.25" customHeight="1">
      <c r="A1" s="1" t="s">
        <v>0</v>
      </c>
    </row>
    <row r="2" spans="1:12" ht="14.25" customHeight="1">
      <c r="A2" s="2" t="s">
        <v>4</v>
      </c>
    </row>
    <row r="3" spans="1:12" ht="14.25" customHeight="1"/>
    <row r="4" spans="1:12" ht="14.25" customHeight="1">
      <c r="A4" s="4" t="s">
        <v>6</v>
      </c>
      <c r="B4" s="4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spans="1:12" ht="14.25" customHeight="1">
      <c r="A5" s="8">
        <v>1</v>
      </c>
      <c r="B5" s="6" t="s">
        <v>21</v>
      </c>
      <c r="C5" s="11">
        <f>ต้นทุนและราคาขาย_ทุกสินค้า!F5</f>
        <v>3.1578947368421053</v>
      </c>
      <c r="D5" s="14">
        <f>ต้นทุนและราคาขาย_ทุกสินค้า!G5</f>
        <v>10</v>
      </c>
      <c r="E5" s="11">
        <f>ต้นทุนและราคาขาย_ทุกสินค้า!H5</f>
        <v>6.8421052631578947</v>
      </c>
      <c r="F5" s="18">
        <f>ต้นทุนและราคาขาย_ทุกสินค้า!I5</f>
        <v>0.68421052631578949</v>
      </c>
      <c r="G5" s="6" t="s">
        <v>40</v>
      </c>
      <c r="H5" s="20">
        <f>ต้นทุนและราคาขาย_ทุกสินค้า!K5</f>
        <v>10</v>
      </c>
      <c r="I5" s="11">
        <f>ต้นทุนและราคาขาย_ทุกสินค้า!L5</f>
        <v>6.8421052631578947</v>
      </c>
      <c r="J5" s="18">
        <f>ต้นทุนและราคาขาย_ทุกสินค้า!M5</f>
        <v>0.68421052631578949</v>
      </c>
      <c r="K5" s="24">
        <f>ต้นทุนและราคาขาย_ทุกสินค้า!N5</f>
        <v>0</v>
      </c>
      <c r="L5" s="6" t="s">
        <v>41</v>
      </c>
    </row>
    <row r="6" spans="1:12" ht="14.25" customHeight="1">
      <c r="A6" s="6">
        <v>2</v>
      </c>
      <c r="B6" s="6" t="s">
        <v>42</v>
      </c>
      <c r="C6" s="11">
        <f>ต้นทุนและราคาขาย_ทุกสินค้า!F6</f>
        <v>3.75</v>
      </c>
      <c r="D6" s="14">
        <f>ต้นทุนและราคาขาย_ทุกสินค้า!G6</f>
        <v>10</v>
      </c>
      <c r="E6" s="11">
        <f>ต้นทุนและราคาขาย_ทุกสินค้า!H6</f>
        <v>6.25</v>
      </c>
      <c r="F6" s="18">
        <f>ต้นทุนและราคาขาย_ทุกสินค้า!I6</f>
        <v>0.625</v>
      </c>
      <c r="G6" s="6" t="s">
        <v>43</v>
      </c>
      <c r="H6" s="20">
        <f>ต้นทุนและราคาขาย_ทุกสินค้า!K6</f>
        <v>10</v>
      </c>
      <c r="I6" s="11">
        <f>ต้นทุนและราคาขาย_ทุกสินค้า!L6</f>
        <v>6.25</v>
      </c>
      <c r="J6" s="18">
        <f>ต้นทุนและราคาขาย_ทุกสินค้า!M6</f>
        <v>0.625</v>
      </c>
      <c r="K6" s="24">
        <f>ต้นทุนและราคาขาย_ทุกสินค้า!N6</f>
        <v>0</v>
      </c>
      <c r="L6" s="6" t="s">
        <v>46</v>
      </c>
    </row>
    <row r="7" spans="1:12" ht="14.25" customHeight="1">
      <c r="A7" s="8">
        <v>3</v>
      </c>
      <c r="B7" s="6" t="s">
        <v>47</v>
      </c>
      <c r="C7" s="11">
        <f>ต้นทุนและราคาขาย_ทุกสินค้า!F7</f>
        <v>4.8</v>
      </c>
      <c r="D7" s="14">
        <f>ต้นทุนและราคาขาย_ทุกสินค้า!G7</f>
        <v>10</v>
      </c>
      <c r="E7" s="11">
        <f>ต้นทุนและราคาขาย_ทุกสินค้า!H7</f>
        <v>5.2</v>
      </c>
      <c r="F7" s="18">
        <f>ต้นทุนและราคาขาย_ทุกสินค้า!I7</f>
        <v>0.52</v>
      </c>
      <c r="G7" s="6" t="s">
        <v>49</v>
      </c>
      <c r="H7" s="20">
        <f>ต้นทุนและราคาขาย_ทุกสินค้า!K7</f>
        <v>10</v>
      </c>
      <c r="I7" s="11">
        <f>ต้นทุนและราคาขาย_ทุกสินค้า!L7</f>
        <v>5.2</v>
      </c>
      <c r="J7" s="18">
        <f>ต้นทุนและราคาขาย_ทุกสินค้า!M7</f>
        <v>0.52</v>
      </c>
      <c r="K7" s="24">
        <f>ต้นทุนและราคาขาย_ทุกสินค้า!N7</f>
        <v>0</v>
      </c>
      <c r="L7" s="6" t="s">
        <v>52</v>
      </c>
    </row>
    <row r="8" spans="1:12" ht="14.25" customHeight="1">
      <c r="A8" s="6">
        <v>4</v>
      </c>
      <c r="B8" s="6" t="s">
        <v>53</v>
      </c>
      <c r="C8" s="11">
        <f>ต้นทุนและราคาขาย_ทุกสินค้า!F8</f>
        <v>4.4827586206896548</v>
      </c>
      <c r="D8" s="14">
        <f>ต้นทุนและราคาขาย_ทุกสินค้า!G8</f>
        <v>10</v>
      </c>
      <c r="E8" s="11">
        <f>ต้นทุนและราคาขาย_ทุกสินค้า!H8</f>
        <v>5.5172413793103452</v>
      </c>
      <c r="F8" s="18">
        <f>ต้นทุนและราคาขาย_ทุกสินค้า!I8</f>
        <v>0.55172413793103448</v>
      </c>
      <c r="G8" s="6" t="s">
        <v>49</v>
      </c>
      <c r="H8" s="20">
        <f>ต้นทุนและราคาขาย_ทุกสินค้า!K8</f>
        <v>10</v>
      </c>
      <c r="I8" s="11">
        <f>ต้นทุนและราคาขาย_ทุกสินค้า!L8</f>
        <v>5.5172413793103452</v>
      </c>
      <c r="J8" s="18">
        <f>ต้นทุนและราคาขาย_ทุกสินค้า!M8</f>
        <v>0.55172413793103448</v>
      </c>
      <c r="K8" s="24">
        <f>ต้นทุนและราคาขาย_ทุกสินค้า!N8</f>
        <v>0</v>
      </c>
      <c r="L8" s="6" t="s">
        <v>52</v>
      </c>
    </row>
    <row r="9" spans="1:12" ht="14.25" customHeight="1">
      <c r="A9" s="8">
        <v>5</v>
      </c>
      <c r="B9" s="6" t="s">
        <v>54</v>
      </c>
      <c r="C9" s="11">
        <f>ต้นทุนและราคาขาย_ทุกสินค้า!F9</f>
        <v>4.4827586206896548</v>
      </c>
      <c r="D9" s="14">
        <f>ต้นทุนและราคาขาย_ทุกสินค้า!G9</f>
        <v>10</v>
      </c>
      <c r="E9" s="11">
        <f>ต้นทุนและราคาขาย_ทุกสินค้า!H9</f>
        <v>5.5172413793103452</v>
      </c>
      <c r="F9" s="18">
        <f>ต้นทุนและราคาขาย_ทุกสินค้า!I9</f>
        <v>0.55172413793103448</v>
      </c>
      <c r="G9" s="6" t="s">
        <v>49</v>
      </c>
      <c r="H9" s="20">
        <f>ต้นทุนและราคาขาย_ทุกสินค้า!K9</f>
        <v>10</v>
      </c>
      <c r="I9" s="11">
        <f>ต้นทุนและราคาขาย_ทุกสินค้า!L9</f>
        <v>5.5172413793103452</v>
      </c>
      <c r="J9" s="18">
        <f>ต้นทุนและราคาขาย_ทุกสินค้า!M9</f>
        <v>0.55172413793103448</v>
      </c>
      <c r="K9" s="24">
        <f>ต้นทุนและราคาขาย_ทุกสินค้า!N9</f>
        <v>0</v>
      </c>
      <c r="L9" s="6" t="s">
        <v>52</v>
      </c>
    </row>
    <row r="10" spans="1:12" ht="14.25" customHeight="1">
      <c r="A10" s="6">
        <v>6</v>
      </c>
      <c r="B10" s="6" t="s">
        <v>55</v>
      </c>
      <c r="C10" s="11">
        <f>ต้นทุนและราคาขาย_ทุกสินค้า!F10</f>
        <v>6.3636363636363633</v>
      </c>
      <c r="D10" s="14">
        <f>ต้นทุนและราคาขาย_ทุกสินค้า!G10</f>
        <v>10</v>
      </c>
      <c r="E10" s="11">
        <f>ต้นทุนและราคาขาย_ทุกสินค้า!H10</f>
        <v>3.6363636363636367</v>
      </c>
      <c r="F10" s="18">
        <f>ต้นทุนและราคาขาย_ทุกสินค้า!I10</f>
        <v>0.36363636363636365</v>
      </c>
      <c r="G10" s="6" t="s">
        <v>58</v>
      </c>
      <c r="H10" s="20">
        <f>ต้นทุนและราคาขาย_ทุกสินค้า!K10</f>
        <v>12</v>
      </c>
      <c r="I10" s="11">
        <f>ต้นทุนและราคาขาย_ทุกสินค้า!L10</f>
        <v>5.6363636363636367</v>
      </c>
      <c r="J10" s="18">
        <f>ต้นทุนและราคาขาย_ทุกสินค้า!M10</f>
        <v>0.46969696969696972</v>
      </c>
      <c r="K10" s="24">
        <f>ต้นทุนและราคาขาย_ทุกสินค้า!N10</f>
        <v>2</v>
      </c>
      <c r="L10" s="6" t="s">
        <v>60</v>
      </c>
    </row>
    <row r="11" spans="1:12" ht="14.25" customHeight="1">
      <c r="A11" s="8">
        <v>7</v>
      </c>
      <c r="B11" s="6" t="s">
        <v>65</v>
      </c>
      <c r="C11" s="11">
        <f>ต้นทุนและราคาขาย_ทุกสินค้า!F11</f>
        <v>5.7692307692307692</v>
      </c>
      <c r="D11" s="14">
        <f>ต้นทุนและราคาขาย_ทุกสินค้า!G11</f>
        <v>10</v>
      </c>
      <c r="E11" s="11">
        <f>ต้นทุนและราคาขาย_ทุกสินค้า!H11</f>
        <v>4.2307692307692308</v>
      </c>
      <c r="F11" s="18">
        <f>ต้นทุนและราคาขาย_ทุกสินค้า!I11</f>
        <v>0.42307692307692307</v>
      </c>
      <c r="G11" s="6" t="s">
        <v>69</v>
      </c>
      <c r="H11" s="20">
        <f>ต้นทุนและราคาขาย_ทุกสินค้า!K11</f>
        <v>12</v>
      </c>
      <c r="I11" s="11">
        <f>ต้นทุนและราคาขาย_ทุกสินค้า!L11</f>
        <v>6.2307692307692308</v>
      </c>
      <c r="J11" s="18">
        <f>ต้นทุนและราคาขาย_ทุกสินค้า!M11</f>
        <v>0.51923076923076927</v>
      </c>
      <c r="K11" s="24">
        <f>ต้นทุนและราคาขาย_ทุกสินค้า!N11</f>
        <v>2</v>
      </c>
      <c r="L11" s="6" t="s">
        <v>70</v>
      </c>
    </row>
    <row r="12" spans="1:12" ht="14.25" customHeight="1">
      <c r="A12" s="6">
        <v>8</v>
      </c>
      <c r="B12" s="6" t="s">
        <v>71</v>
      </c>
      <c r="C12" s="11">
        <f>ต้นทุนและราคาขาย_ทุกสินค้า!F12</f>
        <v>6.0714285714285712</v>
      </c>
      <c r="D12" s="14">
        <f>ต้นทุนและราคาขาย_ทุกสินค้า!G12</f>
        <v>10</v>
      </c>
      <c r="E12" s="11">
        <f>ต้นทุนและราคาขาย_ทุกสินค้า!H12</f>
        <v>3.9285714285714288</v>
      </c>
      <c r="F12" s="18">
        <f>ต้นทุนและราคาขาย_ทุกสินค้า!I12</f>
        <v>0.3928571428571429</v>
      </c>
      <c r="G12" s="6" t="s">
        <v>72</v>
      </c>
      <c r="H12" s="20">
        <f>ต้นทุนและราคาขาย_ทุกสินค้า!K12</f>
        <v>12</v>
      </c>
      <c r="I12" s="11">
        <f>ต้นทุนและราคาขาย_ทุกสินค้า!L12</f>
        <v>5.9285714285714288</v>
      </c>
      <c r="J12" s="18">
        <f>ต้นทุนและราคาขาย_ทุกสินค้า!M12</f>
        <v>0.49404761904761907</v>
      </c>
      <c r="K12" s="24">
        <f>ต้นทุนและราคาขาย_ทุกสินค้า!N12</f>
        <v>2</v>
      </c>
      <c r="L12" s="6" t="s">
        <v>73</v>
      </c>
    </row>
    <row r="13" spans="1:12" ht="14.25" customHeight="1">
      <c r="A13" s="8">
        <v>9</v>
      </c>
      <c r="B13" s="6" t="s">
        <v>74</v>
      </c>
      <c r="C13" s="11">
        <f>ต้นทุนและราคาขาย_ทุกสินค้า!F13</f>
        <v>6.25</v>
      </c>
      <c r="D13" s="14">
        <f>ต้นทุนและราคาขาย_ทุกสินค้า!G13</f>
        <v>10</v>
      </c>
      <c r="E13" s="11">
        <f>ต้นทุนและราคาขาย_ทุกสินค้า!H13</f>
        <v>3.75</v>
      </c>
      <c r="F13" s="18">
        <f>ต้นทุนและราคาขาย_ทุกสินค้า!I13</f>
        <v>0.375</v>
      </c>
      <c r="G13" s="6" t="s">
        <v>75</v>
      </c>
      <c r="H13" s="20">
        <f>ต้นทุนและราคาขาย_ทุกสินค้า!K13</f>
        <v>12</v>
      </c>
      <c r="I13" s="11">
        <f>ต้นทุนและราคาขาย_ทุกสินค้า!L13</f>
        <v>5.75</v>
      </c>
      <c r="J13" s="18">
        <f>ต้นทุนและราคาขาย_ทุกสินค้า!M13</f>
        <v>0.47916666666666669</v>
      </c>
      <c r="K13" s="24">
        <f>ต้นทุนและราคาขาย_ทุกสินค้า!N13</f>
        <v>2</v>
      </c>
      <c r="L13" s="6" t="s">
        <v>76</v>
      </c>
    </row>
    <row r="14" spans="1:12" ht="14.25" customHeight="1">
      <c r="A14" s="6">
        <v>10</v>
      </c>
      <c r="B14" s="6" t="s">
        <v>77</v>
      </c>
      <c r="C14" s="11">
        <f>ต้นทุนและราคาขาย_ทุกสินค้า!F14</f>
        <v>6.25</v>
      </c>
      <c r="D14" s="14">
        <f>ต้นทุนและราคาขาย_ทุกสินค้า!G14</f>
        <v>10</v>
      </c>
      <c r="E14" s="11">
        <f>ต้นทุนและราคาขาย_ทุกสินค้า!H14</f>
        <v>3.75</v>
      </c>
      <c r="F14" s="18">
        <f>ต้นทุนและราคาขาย_ทุกสินค้า!I14</f>
        <v>0.375</v>
      </c>
      <c r="G14" s="6" t="s">
        <v>75</v>
      </c>
      <c r="H14" s="20">
        <f>ต้นทุนและราคาขาย_ทุกสินค้า!K14</f>
        <v>12</v>
      </c>
      <c r="I14" s="11">
        <f>ต้นทุนและราคาขาย_ทุกสินค้า!L14</f>
        <v>5.75</v>
      </c>
      <c r="J14" s="18">
        <f>ต้นทุนและราคาขาย_ทุกสินค้า!M14</f>
        <v>0.47916666666666669</v>
      </c>
      <c r="K14" s="24">
        <f>ต้นทุนและราคาขาย_ทุกสินค้า!N14</f>
        <v>2</v>
      </c>
      <c r="L14" s="6" t="s">
        <v>76</v>
      </c>
    </row>
    <row r="15" spans="1:12" ht="14.25" customHeight="1">
      <c r="A15" s="72">
        <v>11</v>
      </c>
      <c r="B15" s="6" t="s">
        <v>78</v>
      </c>
      <c r="C15" s="11">
        <f>ต้นทุนและราคาขาย_ทุกสินค้า!F15</f>
        <v>13.636363636363637</v>
      </c>
      <c r="D15" s="14" t="str">
        <f>ต้นทุนและราคาขาย_ทุกสินค้า!G15</f>
        <v>-</v>
      </c>
      <c r="E15" s="11" t="str">
        <f>ต้นทุนและราคาขาย_ทุกสินค้า!H15</f>
        <v>-</v>
      </c>
      <c r="F15" s="18" t="str">
        <f>ต้นทุนและราคาขาย_ทุกสินค้า!I15</f>
        <v>-</v>
      </c>
      <c r="G15" s="6" t="s">
        <v>81</v>
      </c>
      <c r="H15" s="20">
        <f>ต้นทุนและราคาขาย_ทุกสินค้า!K15</f>
        <v>25</v>
      </c>
      <c r="I15" s="11">
        <f>ต้นทุนและราคาขาย_ทุกสินค้า!L15</f>
        <v>11.363636363636363</v>
      </c>
      <c r="J15" s="18">
        <f>ต้นทุนและราคาขาย_ทุกสินค้า!M15</f>
        <v>0.45454545454545453</v>
      </c>
      <c r="K15" s="24">
        <f>ต้นทุนและราคาขาย_ทุกสินค้า!N15</f>
        <v>11.363636363636363</v>
      </c>
      <c r="L15" s="6" t="s">
        <v>83</v>
      </c>
    </row>
    <row r="16" spans="1:12" ht="14.25" customHeight="1">
      <c r="A16" s="6">
        <v>12</v>
      </c>
      <c r="B16" s="6" t="s">
        <v>84</v>
      </c>
      <c r="C16" s="11">
        <f>ต้นทุนและราคาขาย_ทุกสินค้า!F16</f>
        <v>3.28125</v>
      </c>
      <c r="D16" s="14">
        <f>ต้นทุนและราคาขาย_ทุกสินค้า!G16</f>
        <v>5</v>
      </c>
      <c r="E16" s="11">
        <f>ต้นทุนและราคาขาย_ทุกสินค้า!H16</f>
        <v>1.71875</v>
      </c>
      <c r="F16" s="18">
        <f>ต้นทุนและราคาขาย_ทุกสินค้า!I16</f>
        <v>0.34375</v>
      </c>
      <c r="G16" s="6" t="s">
        <v>93</v>
      </c>
      <c r="H16" s="20">
        <f>ต้นทุนและราคาขาย_ทุกสินค้า!K16</f>
        <v>7</v>
      </c>
      <c r="I16" s="11">
        <f>ต้นทุนและราคาขาย_ทุกสินค้า!L16</f>
        <v>3.71875</v>
      </c>
      <c r="J16" s="18">
        <f>ต้นทุนและราคาขาย_ทุกสินค้า!M16</f>
        <v>0.53125</v>
      </c>
      <c r="K16" s="24">
        <f>ต้นทุนและราคาขาย_ทุกสินค้า!N16</f>
        <v>2</v>
      </c>
      <c r="L16" s="6" t="s">
        <v>94</v>
      </c>
    </row>
    <row r="17" spans="1:12" ht="14.25" customHeight="1">
      <c r="A17" s="8">
        <v>13</v>
      </c>
      <c r="B17" s="6" t="s">
        <v>95</v>
      </c>
      <c r="C17" s="11">
        <f>ต้นทุนและราคาขาย_ทุกสินค้า!F17</f>
        <v>1.6216216216216217</v>
      </c>
      <c r="D17" s="14">
        <f>ต้นทุนและราคาขาย_ทุกสินค้า!G17</f>
        <v>5</v>
      </c>
      <c r="E17" s="11">
        <f>ต้นทุนและราคาขาย_ทุกสินค้า!H17</f>
        <v>3.3783783783783781</v>
      </c>
      <c r="F17" s="18">
        <f>ต้นทุนและราคาขาย_ทุกสินค้า!I17</f>
        <v>0.67567567567567566</v>
      </c>
      <c r="G17" s="6" t="s">
        <v>43</v>
      </c>
      <c r="H17" s="20">
        <f>ต้นทุนและราคาขาย_ทุกสินค้า!K17</f>
        <v>5</v>
      </c>
      <c r="I17" s="11">
        <f>ต้นทุนและราคาขาย_ทุกสินค้า!L17</f>
        <v>3.3783783783783781</v>
      </c>
      <c r="J17" s="18">
        <f>ต้นทุนและราคาขาย_ทุกสินค้า!M17</f>
        <v>0.67567567567567566</v>
      </c>
      <c r="K17" s="24">
        <f>ต้นทุนและราคาขาย_ทุกสินค้า!N17</f>
        <v>0</v>
      </c>
      <c r="L17" s="6" t="s">
        <v>96</v>
      </c>
    </row>
    <row r="18" spans="1:12" ht="14.25" customHeight="1">
      <c r="A18" s="6">
        <v>14</v>
      </c>
      <c r="B18" s="6" t="s">
        <v>97</v>
      </c>
      <c r="C18" s="11">
        <f>ต้นทุนและราคาขาย_ทุกสินค้า!F18</f>
        <v>2.1126760563380285</v>
      </c>
      <c r="D18" s="14">
        <f>ต้นทุนและราคาขาย_ทุกสินค้า!G18</f>
        <v>10</v>
      </c>
      <c r="E18" s="11">
        <f>ต้นทุนและราคาขาย_ทุกสินค้า!H18</f>
        <v>7.887323943661972</v>
      </c>
      <c r="F18" s="18">
        <f>ต้นทุนและราคาขาย_ทุกสินค้า!I18</f>
        <v>0.78873239436619724</v>
      </c>
      <c r="G18" s="6" t="s">
        <v>98</v>
      </c>
      <c r="H18" s="20">
        <f>ต้นทุนและราคาขาย_ทุกสินค้า!K18</f>
        <v>10</v>
      </c>
      <c r="I18" s="11">
        <f>ต้นทุนและราคาขาย_ทุกสินค้า!L18</f>
        <v>7.887323943661972</v>
      </c>
      <c r="J18" s="18">
        <f>ต้นทุนและราคาขาย_ทุกสินค้า!M18</f>
        <v>0.78873239436619724</v>
      </c>
      <c r="K18" s="24">
        <f>ต้นทุนและราคาขาย_ทุกสินค้า!N18</f>
        <v>0</v>
      </c>
      <c r="L18" s="6" t="s">
        <v>99</v>
      </c>
    </row>
    <row r="19" spans="1:12" ht="14.25" customHeight="1">
      <c r="A19" s="8">
        <v>15</v>
      </c>
      <c r="B19" s="6" t="s">
        <v>100</v>
      </c>
      <c r="C19" s="11">
        <f>ต้นทุนและราคาขาย_ทุกสินค้า!F19</f>
        <v>1.45</v>
      </c>
      <c r="D19" s="14">
        <f>ต้นทุนและราคาขาย_ทุกสินค้า!G19</f>
        <v>10</v>
      </c>
      <c r="E19" s="11">
        <f>ต้นทุนและราคาขาย_ทุกสินค้า!H19</f>
        <v>8.5500000000000007</v>
      </c>
      <c r="F19" s="18">
        <f>ต้นทุนและราคาขาย_ทุกสินค้า!I19</f>
        <v>0.85500000000000009</v>
      </c>
      <c r="G19" s="6" t="s">
        <v>102</v>
      </c>
      <c r="H19" s="20">
        <f>ต้นทุนและราคาขาย_ทุกสินค้า!K19</f>
        <v>20</v>
      </c>
      <c r="I19" s="11">
        <f>ต้นทุนและราคาขาย_ทุกสินค้า!L19</f>
        <v>18.55</v>
      </c>
      <c r="J19" s="18">
        <f>ต้นทุนและราคาขาย_ทุกสินค้า!M19</f>
        <v>0.92749999999999999</v>
      </c>
      <c r="K19" s="24">
        <f>ต้นทุนและราคาขาย_ทุกสินค้า!N19</f>
        <v>10</v>
      </c>
      <c r="L19" s="6" t="s">
        <v>103</v>
      </c>
    </row>
    <row r="20" spans="1:12" ht="14.25" customHeight="1">
      <c r="A20" s="6">
        <v>16</v>
      </c>
      <c r="B20" s="6" t="s">
        <v>105</v>
      </c>
      <c r="C20" s="11">
        <f>ต้นทุนและราคาขาย_ทุกสินค้า!F20</f>
        <v>1.6</v>
      </c>
      <c r="D20" s="14">
        <f>ต้นทุนและราคาขาย_ทุกสินค้า!G20</f>
        <v>10</v>
      </c>
      <c r="E20" s="11">
        <f>ต้นทุนและราคาขาย_ทุกสินค้า!H20</f>
        <v>8.4</v>
      </c>
      <c r="F20" s="18">
        <f>ต้นทุนและราคาขาย_ทุกสินค้า!I20</f>
        <v>0.84000000000000008</v>
      </c>
      <c r="G20" s="6" t="s">
        <v>102</v>
      </c>
      <c r="H20" s="20">
        <f>ต้นทุนและราคาขาย_ทุกสินค้า!K20</f>
        <v>20</v>
      </c>
      <c r="I20" s="11">
        <f>ต้นทุนและราคาขาย_ทุกสินค้า!L20</f>
        <v>18.399999999999999</v>
      </c>
      <c r="J20" s="18">
        <f>ต้นทุนและราคาขาย_ทุกสินค้า!M20</f>
        <v>0.91999999999999993</v>
      </c>
      <c r="K20" s="24">
        <f>ต้นทุนและราคาขาย_ทุกสินค้า!N20</f>
        <v>9.9999999999999982</v>
      </c>
      <c r="L20" s="6" t="s">
        <v>103</v>
      </c>
    </row>
    <row r="21" spans="1:12" ht="14.25" customHeight="1">
      <c r="A21" s="8">
        <v>17</v>
      </c>
      <c r="B21" s="6" t="s">
        <v>106</v>
      </c>
      <c r="C21" s="11">
        <f>ต้นทุนและราคาขาย_ทุกสินค้า!F21</f>
        <v>1</v>
      </c>
      <c r="D21" s="14">
        <f>ต้นทุนและราคาขาย_ทุกสินค้า!G21</f>
        <v>10</v>
      </c>
      <c r="E21" s="11">
        <f>ต้นทุนและราคาขาย_ทุกสินค้า!H21</f>
        <v>9</v>
      </c>
      <c r="F21" s="18">
        <f>ต้นทุนและราคาขาย_ทุกสินค้า!I21</f>
        <v>0.9</v>
      </c>
      <c r="G21" s="6" t="s">
        <v>107</v>
      </c>
      <c r="H21" s="20">
        <f>ต้นทุนและราคาขาย_ทุกสินค้า!K21</f>
        <v>20</v>
      </c>
      <c r="I21" s="11">
        <f>ต้นทุนและราคาขาย_ทุกสินค้า!L21</f>
        <v>19</v>
      </c>
      <c r="J21" s="18">
        <f>ต้นทุนและราคาขาย_ทุกสินค้า!M21</f>
        <v>0.95</v>
      </c>
      <c r="K21" s="24">
        <f>ต้นทุนและราคาขาย_ทุกสินค้า!N21</f>
        <v>10</v>
      </c>
      <c r="L21" s="6" t="s">
        <v>108</v>
      </c>
    </row>
    <row r="22" spans="1:12" ht="14.25" customHeight="1"/>
    <row r="23" spans="1:12" ht="14.25" customHeight="1"/>
    <row r="24" spans="1:12" ht="14.25" customHeight="1"/>
    <row r="25" spans="1:12" ht="14.25" customHeight="1"/>
    <row r="26" spans="1:12" ht="14.25" customHeight="1"/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53125" defaultRowHeight="15" customHeight="1"/>
  <cols>
    <col min="1" max="1" width="112.26953125" customWidth="1"/>
    <col min="2" max="2" width="23.453125" customWidth="1"/>
    <col min="3" max="3" width="6.453125" customWidth="1"/>
    <col min="4" max="5" width="5.81640625" customWidth="1"/>
    <col min="6" max="6" width="7.81640625" customWidth="1"/>
    <col min="7" max="7" width="24.453125" customWidth="1"/>
    <col min="8" max="8" width="5.81640625" customWidth="1"/>
    <col min="9" max="9" width="6.453125" customWidth="1"/>
    <col min="10" max="10" width="7.81640625" customWidth="1"/>
    <col min="11" max="11" width="7.453125" customWidth="1"/>
    <col min="12" max="12" width="32.453125" customWidth="1"/>
    <col min="13" max="26" width="8.7265625" customWidth="1"/>
  </cols>
  <sheetData>
    <row r="1" spans="1:12" ht="14.25" customHeight="1">
      <c r="A1" s="1" t="s">
        <v>3</v>
      </c>
    </row>
    <row r="2" spans="1:12" ht="14.25" customHeight="1">
      <c r="A2" s="2" t="s">
        <v>5</v>
      </c>
    </row>
    <row r="3" spans="1:12" ht="14.25" customHeight="1"/>
    <row r="4" spans="1:12" ht="14.25" customHeight="1">
      <c r="A4" s="3" t="s">
        <v>6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</row>
    <row r="5" spans="1:12" ht="14.25" customHeight="1">
      <c r="A5" s="5">
        <v>1</v>
      </c>
      <c r="B5" s="6" t="s">
        <v>21</v>
      </c>
      <c r="C5" s="11">
        <f>ต้นทุนและราคาขาย_ทุกสินค้า!F5</f>
        <v>3.1578947368421053</v>
      </c>
      <c r="D5" s="14">
        <f>ต้นทุนและราคาขาย_ทุกสินค้า!G5</f>
        <v>10</v>
      </c>
      <c r="E5" s="11">
        <f>ต้นทุนและราคาขาย_ทุกสินค้า!H5</f>
        <v>6.8421052631578947</v>
      </c>
      <c r="F5" s="18">
        <f>ต้นทุนและราคาขาย_ทุกสินค้า!I5</f>
        <v>0.68421052631578949</v>
      </c>
      <c r="G5" s="6" t="s">
        <v>40</v>
      </c>
      <c r="H5" s="20">
        <f>ต้นทุนและราคาขาย_ทุกสินค้า!K5</f>
        <v>10</v>
      </c>
      <c r="I5" s="11">
        <f>ต้นทุนและราคาขาย_ทุกสินค้า!L5</f>
        <v>6.8421052631578947</v>
      </c>
      <c r="J5" s="18">
        <f>ต้นทุนและราคาขาย_ทุกสินค้า!M5</f>
        <v>0.68421052631578949</v>
      </c>
      <c r="K5" s="24">
        <f>ต้นทุนและราคาขาย_ทุกสินค้า!N5</f>
        <v>0</v>
      </c>
      <c r="L5" s="6" t="s">
        <v>41</v>
      </c>
    </row>
    <row r="6" spans="1:12" ht="14.25" customHeight="1">
      <c r="A6" s="6">
        <v>2</v>
      </c>
      <c r="B6" s="6" t="s">
        <v>42</v>
      </c>
      <c r="C6" s="11">
        <f>ต้นทุนและราคาขาย_ทุกสินค้า!F6</f>
        <v>3.75</v>
      </c>
      <c r="D6" s="14">
        <f>ต้นทุนและราคาขาย_ทุกสินค้า!G6</f>
        <v>10</v>
      </c>
      <c r="E6" s="11">
        <f>ต้นทุนและราคาขาย_ทุกสินค้า!H6</f>
        <v>6.25</v>
      </c>
      <c r="F6" s="18">
        <f>ต้นทุนและราคาขาย_ทุกสินค้า!I6</f>
        <v>0.625</v>
      </c>
      <c r="G6" s="6" t="s">
        <v>43</v>
      </c>
      <c r="H6" s="20">
        <f>ต้นทุนและราคาขาย_ทุกสินค้า!K6</f>
        <v>10</v>
      </c>
      <c r="I6" s="11">
        <f>ต้นทุนและราคาขาย_ทุกสินค้า!L6</f>
        <v>6.25</v>
      </c>
      <c r="J6" s="18">
        <f>ต้นทุนและราคาขาย_ทุกสินค้า!M6</f>
        <v>0.625</v>
      </c>
      <c r="K6" s="24">
        <f>ต้นทุนและราคาขาย_ทุกสินค้า!N6</f>
        <v>0</v>
      </c>
      <c r="L6" s="6" t="s">
        <v>46</v>
      </c>
    </row>
    <row r="7" spans="1:12" ht="14.25" customHeight="1">
      <c r="A7" s="5">
        <v>3</v>
      </c>
      <c r="B7" s="6" t="s">
        <v>47</v>
      </c>
      <c r="C7" s="11">
        <f>ต้นทุนและราคาขาย_ทุกสินค้า!F7</f>
        <v>4.8</v>
      </c>
      <c r="D7" s="14">
        <f>ต้นทุนและราคาขาย_ทุกสินค้า!G7</f>
        <v>10</v>
      </c>
      <c r="E7" s="11">
        <f>ต้นทุนและราคาขาย_ทุกสินค้า!H7</f>
        <v>5.2</v>
      </c>
      <c r="F7" s="18">
        <f>ต้นทุนและราคาขาย_ทุกสินค้า!I7</f>
        <v>0.52</v>
      </c>
      <c r="G7" s="6" t="s">
        <v>49</v>
      </c>
      <c r="H7" s="20">
        <f>ต้นทุนและราคาขาย_ทุกสินค้า!K7</f>
        <v>10</v>
      </c>
      <c r="I7" s="11">
        <f>ต้นทุนและราคาขาย_ทุกสินค้า!L7</f>
        <v>5.2</v>
      </c>
      <c r="J7" s="18">
        <f>ต้นทุนและราคาขาย_ทุกสินค้า!M7</f>
        <v>0.52</v>
      </c>
      <c r="K7" s="24">
        <f>ต้นทุนและราคาขาย_ทุกสินค้า!N7</f>
        <v>0</v>
      </c>
      <c r="L7" s="6" t="s">
        <v>52</v>
      </c>
    </row>
    <row r="8" spans="1:12" ht="14.25" customHeight="1">
      <c r="A8" s="6">
        <v>4</v>
      </c>
      <c r="B8" s="6" t="s">
        <v>53</v>
      </c>
      <c r="C8" s="11">
        <f>ต้นทุนและราคาขาย_ทุกสินค้า!F8</f>
        <v>4.4827586206896548</v>
      </c>
      <c r="D8" s="14">
        <f>ต้นทุนและราคาขาย_ทุกสินค้า!G8</f>
        <v>10</v>
      </c>
      <c r="E8" s="11">
        <f>ต้นทุนและราคาขาย_ทุกสินค้า!H8</f>
        <v>5.5172413793103452</v>
      </c>
      <c r="F8" s="18">
        <f>ต้นทุนและราคาขาย_ทุกสินค้า!I8</f>
        <v>0.55172413793103448</v>
      </c>
      <c r="G8" s="6" t="s">
        <v>49</v>
      </c>
      <c r="H8" s="20">
        <f>ต้นทุนและราคาขาย_ทุกสินค้า!K8</f>
        <v>10</v>
      </c>
      <c r="I8" s="11">
        <f>ต้นทุนและราคาขาย_ทุกสินค้า!L8</f>
        <v>5.5172413793103452</v>
      </c>
      <c r="J8" s="18">
        <f>ต้นทุนและราคาขาย_ทุกสินค้า!M8</f>
        <v>0.55172413793103448</v>
      </c>
      <c r="K8" s="24">
        <f>ต้นทุนและราคาขาย_ทุกสินค้า!N8</f>
        <v>0</v>
      </c>
      <c r="L8" s="6" t="s">
        <v>52</v>
      </c>
    </row>
    <row r="9" spans="1:12" ht="14.25" customHeight="1">
      <c r="A9" s="5">
        <v>5</v>
      </c>
      <c r="B9" s="6" t="s">
        <v>54</v>
      </c>
      <c r="C9" s="11">
        <f>ต้นทุนและราคาขาย_ทุกสินค้า!F9</f>
        <v>4.4827586206896548</v>
      </c>
      <c r="D9" s="14">
        <f>ต้นทุนและราคาขาย_ทุกสินค้า!G9</f>
        <v>10</v>
      </c>
      <c r="E9" s="11">
        <f>ต้นทุนและราคาขาย_ทุกสินค้า!H9</f>
        <v>5.5172413793103452</v>
      </c>
      <c r="F9" s="18">
        <f>ต้นทุนและราคาขาย_ทุกสินค้า!I9</f>
        <v>0.55172413793103448</v>
      </c>
      <c r="G9" s="6" t="s">
        <v>49</v>
      </c>
      <c r="H9" s="20">
        <f>ต้นทุนและราคาขาย_ทุกสินค้า!K9</f>
        <v>10</v>
      </c>
      <c r="I9" s="11">
        <f>ต้นทุนและราคาขาย_ทุกสินค้า!L9</f>
        <v>5.5172413793103452</v>
      </c>
      <c r="J9" s="18">
        <f>ต้นทุนและราคาขาย_ทุกสินค้า!M9</f>
        <v>0.55172413793103448</v>
      </c>
      <c r="K9" s="24">
        <f>ต้นทุนและราคาขาย_ทุกสินค้า!N9</f>
        <v>0</v>
      </c>
      <c r="L9" s="6" t="s">
        <v>52</v>
      </c>
    </row>
    <row r="10" spans="1:12" ht="14.25" customHeight="1">
      <c r="A10" s="6">
        <v>6</v>
      </c>
      <c r="B10" s="6" t="s">
        <v>55</v>
      </c>
      <c r="C10" s="11">
        <f>ต้นทุนและราคาขาย_ทุกสินค้า!F10</f>
        <v>6.3636363636363633</v>
      </c>
      <c r="D10" s="14">
        <f>ต้นทุนและราคาขาย_ทุกสินค้า!G10</f>
        <v>10</v>
      </c>
      <c r="E10" s="11">
        <f>ต้นทุนและราคาขาย_ทุกสินค้า!H10</f>
        <v>3.6363636363636367</v>
      </c>
      <c r="F10" s="18">
        <f>ต้นทุนและราคาขาย_ทุกสินค้า!I10</f>
        <v>0.36363636363636365</v>
      </c>
      <c r="G10" s="6" t="s">
        <v>58</v>
      </c>
      <c r="H10" s="20">
        <f>ต้นทุนและราคาขาย_ทุกสินค้า!K10</f>
        <v>12</v>
      </c>
      <c r="I10" s="11">
        <f>ต้นทุนและราคาขาย_ทุกสินค้า!L10</f>
        <v>5.6363636363636367</v>
      </c>
      <c r="J10" s="18">
        <f>ต้นทุนและราคาขาย_ทุกสินค้า!M10</f>
        <v>0.46969696969696972</v>
      </c>
      <c r="K10" s="24">
        <f>ต้นทุนและราคาขาย_ทุกสินค้า!N10</f>
        <v>2</v>
      </c>
      <c r="L10" s="6" t="s">
        <v>60</v>
      </c>
    </row>
    <row r="11" spans="1:12" ht="14.25" customHeight="1">
      <c r="A11" s="5">
        <v>7</v>
      </c>
      <c r="B11" s="6" t="s">
        <v>65</v>
      </c>
      <c r="C11" s="11">
        <f>ต้นทุนและราคาขาย_ทุกสินค้า!F11</f>
        <v>5.7692307692307692</v>
      </c>
      <c r="D11" s="14">
        <f>ต้นทุนและราคาขาย_ทุกสินค้า!G11</f>
        <v>10</v>
      </c>
      <c r="E11" s="11">
        <f>ต้นทุนและราคาขาย_ทุกสินค้า!H11</f>
        <v>4.2307692307692308</v>
      </c>
      <c r="F11" s="18">
        <f>ต้นทุนและราคาขาย_ทุกสินค้า!I11</f>
        <v>0.42307692307692307</v>
      </c>
      <c r="G11" s="6" t="s">
        <v>69</v>
      </c>
      <c r="H11" s="20">
        <f>ต้นทุนและราคาขาย_ทุกสินค้า!K11</f>
        <v>12</v>
      </c>
      <c r="I11" s="11">
        <f>ต้นทุนและราคาขาย_ทุกสินค้า!L11</f>
        <v>6.2307692307692308</v>
      </c>
      <c r="J11" s="18">
        <f>ต้นทุนและราคาขาย_ทุกสินค้า!M11</f>
        <v>0.51923076923076927</v>
      </c>
      <c r="K11" s="24">
        <f>ต้นทุนและราคาขาย_ทุกสินค้า!N11</f>
        <v>2</v>
      </c>
      <c r="L11" s="6" t="s">
        <v>70</v>
      </c>
    </row>
    <row r="12" spans="1:12" ht="14.25" customHeight="1">
      <c r="A12" s="6">
        <v>8</v>
      </c>
      <c r="B12" s="6" t="s">
        <v>71</v>
      </c>
      <c r="C12" s="11">
        <f>ต้นทุนและราคาขาย_ทุกสินค้า!F12</f>
        <v>6.0714285714285712</v>
      </c>
      <c r="D12" s="14">
        <f>ต้นทุนและราคาขาย_ทุกสินค้า!G12</f>
        <v>10</v>
      </c>
      <c r="E12" s="11">
        <f>ต้นทุนและราคาขาย_ทุกสินค้า!H12</f>
        <v>3.9285714285714288</v>
      </c>
      <c r="F12" s="18">
        <f>ต้นทุนและราคาขาย_ทุกสินค้า!I12</f>
        <v>0.3928571428571429</v>
      </c>
      <c r="G12" s="6" t="s">
        <v>72</v>
      </c>
      <c r="H12" s="20">
        <f>ต้นทุนและราคาขาย_ทุกสินค้า!K12</f>
        <v>12</v>
      </c>
      <c r="I12" s="11">
        <f>ต้นทุนและราคาขาย_ทุกสินค้า!L12</f>
        <v>5.9285714285714288</v>
      </c>
      <c r="J12" s="18">
        <f>ต้นทุนและราคาขาย_ทุกสินค้า!M12</f>
        <v>0.49404761904761907</v>
      </c>
      <c r="K12" s="24">
        <f>ต้นทุนและราคาขาย_ทุกสินค้า!N12</f>
        <v>2</v>
      </c>
      <c r="L12" s="6" t="s">
        <v>73</v>
      </c>
    </row>
    <row r="13" spans="1:12" ht="14.25" customHeight="1">
      <c r="A13" s="5">
        <v>9</v>
      </c>
      <c r="B13" s="6" t="s">
        <v>74</v>
      </c>
      <c r="C13" s="11">
        <f>ต้นทุนและราคาขาย_ทุกสินค้า!F13</f>
        <v>6.25</v>
      </c>
      <c r="D13" s="14">
        <f>ต้นทุนและราคาขาย_ทุกสินค้า!G13</f>
        <v>10</v>
      </c>
      <c r="E13" s="11">
        <f>ต้นทุนและราคาขาย_ทุกสินค้า!H13</f>
        <v>3.75</v>
      </c>
      <c r="F13" s="18">
        <f>ต้นทุนและราคาขาย_ทุกสินค้า!I13</f>
        <v>0.375</v>
      </c>
      <c r="G13" s="6" t="s">
        <v>75</v>
      </c>
      <c r="H13" s="20">
        <f>ต้นทุนและราคาขาย_ทุกสินค้า!K13</f>
        <v>12</v>
      </c>
      <c r="I13" s="11">
        <f>ต้นทุนและราคาขาย_ทุกสินค้า!L13</f>
        <v>5.75</v>
      </c>
      <c r="J13" s="18">
        <f>ต้นทุนและราคาขาย_ทุกสินค้า!M13</f>
        <v>0.47916666666666669</v>
      </c>
      <c r="K13" s="24">
        <f>ต้นทุนและราคาขาย_ทุกสินค้า!N13</f>
        <v>2</v>
      </c>
      <c r="L13" s="6" t="s">
        <v>76</v>
      </c>
    </row>
    <row r="14" spans="1:12" ht="14.25" customHeight="1">
      <c r="A14" s="6">
        <v>10</v>
      </c>
      <c r="B14" s="6" t="s">
        <v>77</v>
      </c>
      <c r="C14" s="11">
        <f>ต้นทุนและราคาขาย_ทุกสินค้า!F14</f>
        <v>6.25</v>
      </c>
      <c r="D14" s="14">
        <f>ต้นทุนและราคาขาย_ทุกสินค้า!G14</f>
        <v>10</v>
      </c>
      <c r="E14" s="11">
        <f>ต้นทุนและราคาขาย_ทุกสินค้า!H14</f>
        <v>3.75</v>
      </c>
      <c r="F14" s="18">
        <f>ต้นทุนและราคาขาย_ทุกสินค้า!I14</f>
        <v>0.375</v>
      </c>
      <c r="G14" s="6" t="s">
        <v>75</v>
      </c>
      <c r="H14" s="20">
        <f>ต้นทุนและราคาขาย_ทุกสินค้า!K14</f>
        <v>12</v>
      </c>
      <c r="I14" s="11">
        <f>ต้นทุนและราคาขาย_ทุกสินค้า!L14</f>
        <v>5.75</v>
      </c>
      <c r="J14" s="18">
        <f>ต้นทุนและราคาขาย_ทุกสินค้า!M14</f>
        <v>0.47916666666666669</v>
      </c>
      <c r="K14" s="24">
        <f>ต้นทุนและราคาขาย_ทุกสินค้า!N14</f>
        <v>2</v>
      </c>
      <c r="L14" s="6" t="s">
        <v>76</v>
      </c>
    </row>
    <row r="15" spans="1:12" ht="14.25" customHeight="1">
      <c r="A15" s="72">
        <v>11</v>
      </c>
      <c r="B15" s="6" t="s">
        <v>78</v>
      </c>
      <c r="C15" s="11">
        <f>ต้นทุนและราคาขาย_ทุกสินค้า!F15</f>
        <v>13.636363636363637</v>
      </c>
      <c r="D15" s="14" t="str">
        <f>ต้นทุนและราคาขาย_ทุกสินค้า!G15</f>
        <v>-</v>
      </c>
      <c r="E15" s="11" t="str">
        <f>ต้นทุนและราคาขาย_ทุกสินค้า!H15</f>
        <v>-</v>
      </c>
      <c r="F15" s="18" t="str">
        <f>ต้นทุนและราคาขาย_ทุกสินค้า!I15</f>
        <v>-</v>
      </c>
      <c r="G15" s="6" t="s">
        <v>81</v>
      </c>
      <c r="H15" s="20">
        <f>ต้นทุนและราคาขาย_ทุกสินค้า!K15</f>
        <v>25</v>
      </c>
      <c r="I15" s="11">
        <f>ต้นทุนและราคาขาย_ทุกสินค้า!L15</f>
        <v>11.363636363636363</v>
      </c>
      <c r="J15" s="18">
        <f>ต้นทุนและราคาขาย_ทุกสินค้า!M15</f>
        <v>0.45454545454545453</v>
      </c>
      <c r="K15" s="24">
        <f>ต้นทุนและราคาขาย_ทุกสินค้า!N15</f>
        <v>11.363636363636363</v>
      </c>
      <c r="L15" s="6" t="s">
        <v>83</v>
      </c>
    </row>
    <row r="16" spans="1:12" ht="14.25" customHeight="1">
      <c r="A16" s="6">
        <v>12</v>
      </c>
      <c r="B16" s="6" t="s">
        <v>84</v>
      </c>
      <c r="C16" s="11">
        <f>ต้นทุนและราคาขาย_ทุกสินค้า!F16</f>
        <v>3.28125</v>
      </c>
      <c r="D16" s="14">
        <f>ต้นทุนและราคาขาย_ทุกสินค้า!G16</f>
        <v>5</v>
      </c>
      <c r="E16" s="11">
        <f>ต้นทุนและราคาขาย_ทุกสินค้า!H16</f>
        <v>1.71875</v>
      </c>
      <c r="F16" s="18">
        <f>ต้นทุนและราคาขาย_ทุกสินค้า!I16</f>
        <v>0.34375</v>
      </c>
      <c r="G16" s="6" t="s">
        <v>93</v>
      </c>
      <c r="H16" s="20">
        <f>ต้นทุนและราคาขาย_ทุกสินค้า!K16</f>
        <v>7</v>
      </c>
      <c r="I16" s="11">
        <f>ต้นทุนและราคาขาย_ทุกสินค้า!L16</f>
        <v>3.71875</v>
      </c>
      <c r="J16" s="18">
        <f>ต้นทุนและราคาขาย_ทุกสินค้า!M16</f>
        <v>0.53125</v>
      </c>
      <c r="K16" s="24">
        <f>ต้นทุนและราคาขาย_ทุกสินค้า!N16</f>
        <v>2</v>
      </c>
      <c r="L16" s="6" t="s">
        <v>94</v>
      </c>
    </row>
    <row r="17" spans="1:12" ht="14.25" customHeight="1">
      <c r="A17" s="5">
        <v>13</v>
      </c>
      <c r="B17" s="6" t="s">
        <v>95</v>
      </c>
      <c r="C17" s="11">
        <f>ต้นทุนและราคาขาย_ทุกสินค้า!F17</f>
        <v>1.6216216216216217</v>
      </c>
      <c r="D17" s="14">
        <f>ต้นทุนและราคาขาย_ทุกสินค้า!G17</f>
        <v>5</v>
      </c>
      <c r="E17" s="11">
        <f>ต้นทุนและราคาขาย_ทุกสินค้า!H17</f>
        <v>3.3783783783783781</v>
      </c>
      <c r="F17" s="18">
        <f>ต้นทุนและราคาขาย_ทุกสินค้า!I17</f>
        <v>0.67567567567567566</v>
      </c>
      <c r="G17" s="6" t="s">
        <v>43</v>
      </c>
      <c r="H17" s="20">
        <f>ต้นทุนและราคาขาย_ทุกสินค้า!K17</f>
        <v>5</v>
      </c>
      <c r="I17" s="11">
        <f>ต้นทุนและราคาขาย_ทุกสินค้า!L17</f>
        <v>3.3783783783783781</v>
      </c>
      <c r="J17" s="18">
        <f>ต้นทุนและราคาขาย_ทุกสินค้า!M17</f>
        <v>0.67567567567567566</v>
      </c>
      <c r="K17" s="24">
        <f>ต้นทุนและราคาขาย_ทุกสินค้า!N17</f>
        <v>0</v>
      </c>
      <c r="L17" s="6" t="s">
        <v>96</v>
      </c>
    </row>
    <row r="18" spans="1:12" ht="14.25" customHeight="1">
      <c r="A18" s="6">
        <v>14</v>
      </c>
      <c r="B18" s="6" t="s">
        <v>97</v>
      </c>
      <c r="C18" s="11">
        <f>ต้นทุนและราคาขาย_ทุกสินค้า!F18</f>
        <v>2.1126760563380285</v>
      </c>
      <c r="D18" s="14">
        <f>ต้นทุนและราคาขาย_ทุกสินค้า!G18</f>
        <v>10</v>
      </c>
      <c r="E18" s="11">
        <f>ต้นทุนและราคาขาย_ทุกสินค้า!H18</f>
        <v>7.887323943661972</v>
      </c>
      <c r="F18" s="18">
        <f>ต้นทุนและราคาขาย_ทุกสินค้า!I18</f>
        <v>0.78873239436619724</v>
      </c>
      <c r="G18" s="6" t="s">
        <v>98</v>
      </c>
      <c r="H18" s="20">
        <f>ต้นทุนและราคาขาย_ทุกสินค้า!K18</f>
        <v>10</v>
      </c>
      <c r="I18" s="11">
        <f>ต้นทุนและราคาขาย_ทุกสินค้า!L18</f>
        <v>7.887323943661972</v>
      </c>
      <c r="J18" s="18">
        <f>ต้นทุนและราคาขาย_ทุกสินค้า!M18</f>
        <v>0.78873239436619724</v>
      </c>
      <c r="K18" s="24">
        <f>ต้นทุนและราคาขาย_ทุกสินค้า!N18</f>
        <v>0</v>
      </c>
      <c r="L18" s="6" t="s">
        <v>99</v>
      </c>
    </row>
    <row r="19" spans="1:12" ht="14.25" customHeight="1"/>
    <row r="20" spans="1:12" ht="14.25" customHeight="1"/>
    <row r="21" spans="1:12" ht="14.25" customHeight="1"/>
    <row r="22" spans="1:12" ht="14.25" customHeight="1"/>
    <row r="23" spans="1:12" ht="14.25" customHeight="1"/>
    <row r="24" spans="1:12" ht="14.25" customHeight="1"/>
    <row r="25" spans="1:12" ht="14.25" customHeight="1"/>
    <row r="26" spans="1:12" ht="14.25" customHeight="1"/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defaultColWidth="14.453125" defaultRowHeight="15" customHeight="1"/>
  <cols>
    <col min="1" max="1" width="5.7265625" customWidth="1"/>
    <col min="2" max="2" width="37" customWidth="1"/>
    <col min="3" max="3" width="17" customWidth="1"/>
    <col min="4" max="4" width="23.08984375" customWidth="1"/>
    <col min="5" max="5" width="16.7265625" customWidth="1"/>
    <col min="6" max="6" width="17.7265625" customWidth="1"/>
    <col min="7" max="7" width="13.81640625" customWidth="1"/>
    <col min="8" max="8" width="13.7265625" customWidth="1"/>
    <col min="9" max="9" width="11.7265625" customWidth="1"/>
    <col min="10" max="10" width="24.453125" customWidth="1"/>
    <col min="11" max="11" width="13.7265625" customWidth="1"/>
    <col min="12" max="12" width="13.54296875" customWidth="1"/>
    <col min="13" max="13" width="11.54296875" customWidth="1"/>
    <col min="14" max="14" width="16.54296875" customWidth="1"/>
    <col min="15" max="15" width="32.453125" customWidth="1"/>
    <col min="16" max="16" width="17.7265625" customWidth="1"/>
    <col min="17" max="26" width="8.7265625" customWidth="1"/>
  </cols>
  <sheetData>
    <row r="1" spans="1:16" ht="34.5" customHeight="1">
      <c r="A1" s="81" t="s">
        <v>2</v>
      </c>
      <c r="B1" s="82"/>
      <c r="C1" s="82"/>
      <c r="D1" s="82"/>
      <c r="E1" s="82"/>
      <c r="F1" s="82"/>
      <c r="G1" s="82"/>
      <c r="H1" s="82"/>
      <c r="I1" s="82"/>
      <c r="J1" s="83"/>
    </row>
    <row r="2" spans="1:16" ht="19.5" customHeight="1">
      <c r="A2" s="84" t="s">
        <v>8</v>
      </c>
      <c r="B2" s="85"/>
      <c r="C2" s="85"/>
      <c r="D2" s="85"/>
      <c r="E2" s="85"/>
      <c r="F2" s="85"/>
      <c r="G2" s="85"/>
      <c r="H2" s="85"/>
      <c r="I2" s="85"/>
      <c r="J2" s="85"/>
    </row>
    <row r="3" spans="1:16" ht="14.2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6" ht="27.75" customHeight="1">
      <c r="A4" s="10" t="s">
        <v>6</v>
      </c>
      <c r="B4" s="10" t="s">
        <v>31</v>
      </c>
      <c r="C4" s="10" t="s">
        <v>32</v>
      </c>
      <c r="D4" s="10" t="s">
        <v>33</v>
      </c>
      <c r="E4" s="10" t="s">
        <v>35</v>
      </c>
      <c r="F4" s="10" t="s">
        <v>36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37</v>
      </c>
      <c r="O4" s="10" t="s">
        <v>19</v>
      </c>
      <c r="P4" s="10" t="s">
        <v>38</v>
      </c>
    </row>
    <row r="5" spans="1:16" ht="21.75" customHeight="1">
      <c r="A5" s="15">
        <v>1</v>
      </c>
      <c r="B5" s="16" t="s">
        <v>21</v>
      </c>
      <c r="C5" s="17" t="s">
        <v>39</v>
      </c>
      <c r="D5" s="17">
        <v>60</v>
      </c>
      <c r="E5" s="19">
        <v>19</v>
      </c>
      <c r="F5" s="22">
        <f t="shared" ref="F5:F21" si="0">D5/E5</f>
        <v>3.1578947368421053</v>
      </c>
      <c r="G5" s="23">
        <v>10</v>
      </c>
      <c r="H5" s="22">
        <f t="shared" ref="H5:H14" si="1">G5-F5</f>
        <v>6.8421052631578947</v>
      </c>
      <c r="I5" s="25">
        <f t="shared" ref="I5:I14" si="2">H5/G5</f>
        <v>0.68421052631578949</v>
      </c>
      <c r="J5" s="25" t="s">
        <v>40</v>
      </c>
      <c r="K5" s="26">
        <v>10</v>
      </c>
      <c r="L5" s="27">
        <f t="shared" ref="L5:L21" si="3">K5-F5</f>
        <v>6.8421052631578947</v>
      </c>
      <c r="M5" s="29">
        <f t="shared" ref="M5:M21" si="4">L5/K5</f>
        <v>0.68421052631578949</v>
      </c>
      <c r="N5" s="31">
        <f t="shared" ref="N5:N14" si="5">L5-H5</f>
        <v>0</v>
      </c>
      <c r="O5" s="33" t="s">
        <v>41</v>
      </c>
      <c r="P5" s="34" t="s">
        <v>45</v>
      </c>
    </row>
    <row r="6" spans="1:16" ht="21.75" customHeight="1">
      <c r="A6" s="35">
        <v>2</v>
      </c>
      <c r="B6" s="37" t="s">
        <v>42</v>
      </c>
      <c r="C6" s="38" t="s">
        <v>39</v>
      </c>
      <c r="D6" s="38">
        <v>75</v>
      </c>
      <c r="E6" s="39">
        <v>20</v>
      </c>
      <c r="F6" s="41">
        <f t="shared" si="0"/>
        <v>3.75</v>
      </c>
      <c r="G6" s="42">
        <v>10</v>
      </c>
      <c r="H6" s="41">
        <f t="shared" si="1"/>
        <v>6.25</v>
      </c>
      <c r="I6" s="43">
        <f t="shared" si="2"/>
        <v>0.625</v>
      </c>
      <c r="J6" s="43" t="s">
        <v>43</v>
      </c>
      <c r="K6" s="26">
        <v>10</v>
      </c>
      <c r="L6" s="27">
        <f t="shared" si="3"/>
        <v>6.25</v>
      </c>
      <c r="M6" s="29">
        <f t="shared" si="4"/>
        <v>0.625</v>
      </c>
      <c r="N6" s="31">
        <f t="shared" si="5"/>
        <v>0</v>
      </c>
      <c r="O6" s="33" t="s">
        <v>46</v>
      </c>
      <c r="P6" s="34" t="s">
        <v>45</v>
      </c>
    </row>
    <row r="7" spans="1:16" ht="21.75" customHeight="1">
      <c r="A7" s="15">
        <v>3</v>
      </c>
      <c r="B7" s="16" t="s">
        <v>47</v>
      </c>
      <c r="C7" s="17" t="s">
        <v>39</v>
      </c>
      <c r="D7" s="17">
        <v>60</v>
      </c>
      <c r="E7" s="19">
        <v>12.5</v>
      </c>
      <c r="F7" s="22">
        <f t="shared" si="0"/>
        <v>4.8</v>
      </c>
      <c r="G7" s="23">
        <v>10</v>
      </c>
      <c r="H7" s="22">
        <f t="shared" si="1"/>
        <v>5.2</v>
      </c>
      <c r="I7" s="25">
        <f t="shared" si="2"/>
        <v>0.52</v>
      </c>
      <c r="J7" s="25" t="s">
        <v>49</v>
      </c>
      <c r="K7" s="26">
        <v>10</v>
      </c>
      <c r="L7" s="27">
        <f t="shared" si="3"/>
        <v>5.2</v>
      </c>
      <c r="M7" s="29">
        <f t="shared" si="4"/>
        <v>0.52</v>
      </c>
      <c r="N7" s="31">
        <f t="shared" si="5"/>
        <v>0</v>
      </c>
      <c r="O7" s="33" t="s">
        <v>52</v>
      </c>
      <c r="P7" s="34" t="s">
        <v>45</v>
      </c>
    </row>
    <row r="8" spans="1:16" ht="21.75" customHeight="1">
      <c r="A8" s="35">
        <v>4</v>
      </c>
      <c r="B8" s="37" t="s">
        <v>53</v>
      </c>
      <c r="C8" s="38" t="s">
        <v>39</v>
      </c>
      <c r="D8" s="38">
        <v>65</v>
      </c>
      <c r="E8" s="39">
        <v>14.5</v>
      </c>
      <c r="F8" s="41">
        <f t="shared" si="0"/>
        <v>4.4827586206896548</v>
      </c>
      <c r="G8" s="42">
        <v>10</v>
      </c>
      <c r="H8" s="41">
        <f t="shared" si="1"/>
        <v>5.5172413793103452</v>
      </c>
      <c r="I8" s="43">
        <f t="shared" si="2"/>
        <v>0.55172413793103448</v>
      </c>
      <c r="J8" s="43" t="s">
        <v>49</v>
      </c>
      <c r="K8" s="26">
        <v>10</v>
      </c>
      <c r="L8" s="27">
        <f t="shared" si="3"/>
        <v>5.5172413793103452</v>
      </c>
      <c r="M8" s="29">
        <f t="shared" si="4"/>
        <v>0.55172413793103448</v>
      </c>
      <c r="N8" s="31">
        <f t="shared" si="5"/>
        <v>0</v>
      </c>
      <c r="O8" s="33" t="s">
        <v>52</v>
      </c>
      <c r="P8" s="34" t="s">
        <v>45</v>
      </c>
    </row>
    <row r="9" spans="1:16" ht="21.75" customHeight="1">
      <c r="A9" s="15">
        <v>5</v>
      </c>
      <c r="B9" s="16" t="s">
        <v>54</v>
      </c>
      <c r="C9" s="17" t="s">
        <v>39</v>
      </c>
      <c r="D9" s="17">
        <v>65</v>
      </c>
      <c r="E9" s="19">
        <v>14.5</v>
      </c>
      <c r="F9" s="22">
        <f t="shared" si="0"/>
        <v>4.4827586206896548</v>
      </c>
      <c r="G9" s="23">
        <v>10</v>
      </c>
      <c r="H9" s="22">
        <f t="shared" si="1"/>
        <v>5.5172413793103452</v>
      </c>
      <c r="I9" s="25">
        <f t="shared" si="2"/>
        <v>0.55172413793103448</v>
      </c>
      <c r="J9" s="25" t="s">
        <v>49</v>
      </c>
      <c r="K9" s="26">
        <v>10</v>
      </c>
      <c r="L9" s="27">
        <f t="shared" si="3"/>
        <v>5.5172413793103452</v>
      </c>
      <c r="M9" s="29">
        <f t="shared" si="4"/>
        <v>0.55172413793103448</v>
      </c>
      <c r="N9" s="31">
        <f t="shared" si="5"/>
        <v>0</v>
      </c>
      <c r="O9" s="33" t="s">
        <v>52</v>
      </c>
      <c r="P9" s="34" t="s">
        <v>45</v>
      </c>
    </row>
    <row r="10" spans="1:16" ht="21.75" customHeight="1">
      <c r="A10" s="35">
        <v>6</v>
      </c>
      <c r="B10" s="37" t="s">
        <v>55</v>
      </c>
      <c r="C10" s="38" t="s">
        <v>56</v>
      </c>
      <c r="D10" s="38">
        <v>70</v>
      </c>
      <c r="E10" s="39">
        <v>11</v>
      </c>
      <c r="F10" s="41">
        <f t="shared" si="0"/>
        <v>6.3636363636363633</v>
      </c>
      <c r="G10" s="42">
        <v>10</v>
      </c>
      <c r="H10" s="41">
        <f t="shared" si="1"/>
        <v>3.6363636363636367</v>
      </c>
      <c r="I10" s="43">
        <f t="shared" si="2"/>
        <v>0.36363636363636365</v>
      </c>
      <c r="J10" s="43" t="s">
        <v>119</v>
      </c>
      <c r="K10" s="26">
        <v>12</v>
      </c>
      <c r="L10" s="27">
        <f t="shared" si="3"/>
        <v>5.6363636363636367</v>
      </c>
      <c r="M10" s="29">
        <f t="shared" si="4"/>
        <v>0.46969696969696972</v>
      </c>
      <c r="N10" s="31">
        <f t="shared" si="5"/>
        <v>2</v>
      </c>
      <c r="O10" s="33" t="s">
        <v>60</v>
      </c>
      <c r="P10" s="34" t="s">
        <v>45</v>
      </c>
    </row>
    <row r="11" spans="1:16" ht="21.75" customHeight="1">
      <c r="A11" s="15">
        <v>7</v>
      </c>
      <c r="B11" s="16" t="s">
        <v>65</v>
      </c>
      <c r="C11" s="17" t="s">
        <v>67</v>
      </c>
      <c r="D11" s="17">
        <v>300</v>
      </c>
      <c r="E11" s="19">
        <v>52</v>
      </c>
      <c r="F11" s="22">
        <f t="shared" si="0"/>
        <v>5.7692307692307692</v>
      </c>
      <c r="G11" s="23">
        <v>10</v>
      </c>
      <c r="H11" s="22">
        <f t="shared" si="1"/>
        <v>4.2307692307692308</v>
      </c>
      <c r="I11" s="25">
        <f t="shared" si="2"/>
        <v>0.42307692307692307</v>
      </c>
      <c r="J11" s="25" t="s">
        <v>69</v>
      </c>
      <c r="K11" s="26">
        <v>12</v>
      </c>
      <c r="L11" s="27">
        <f t="shared" si="3"/>
        <v>6.2307692307692308</v>
      </c>
      <c r="M11" s="29">
        <f t="shared" si="4"/>
        <v>0.51923076923076927</v>
      </c>
      <c r="N11" s="31">
        <f t="shared" si="5"/>
        <v>2</v>
      </c>
      <c r="O11" s="33" t="s">
        <v>70</v>
      </c>
      <c r="P11" s="34" t="s">
        <v>45</v>
      </c>
    </row>
    <row r="12" spans="1:16" ht="21.75" customHeight="1">
      <c r="A12" s="35">
        <v>8</v>
      </c>
      <c r="B12" s="37" t="s">
        <v>71</v>
      </c>
      <c r="C12" s="38" t="s">
        <v>56</v>
      </c>
      <c r="D12" s="38">
        <v>85</v>
      </c>
      <c r="E12" s="39">
        <v>14</v>
      </c>
      <c r="F12" s="41">
        <f t="shared" si="0"/>
        <v>6.0714285714285712</v>
      </c>
      <c r="G12" s="42">
        <v>10</v>
      </c>
      <c r="H12" s="41">
        <f t="shared" si="1"/>
        <v>3.9285714285714288</v>
      </c>
      <c r="I12" s="43">
        <f t="shared" si="2"/>
        <v>0.3928571428571429</v>
      </c>
      <c r="J12" s="43" t="s">
        <v>72</v>
      </c>
      <c r="K12" s="26">
        <v>12</v>
      </c>
      <c r="L12" s="27">
        <f t="shared" si="3"/>
        <v>5.9285714285714288</v>
      </c>
      <c r="M12" s="29">
        <f t="shared" si="4"/>
        <v>0.49404761904761907</v>
      </c>
      <c r="N12" s="31">
        <f t="shared" si="5"/>
        <v>2</v>
      </c>
      <c r="O12" s="33" t="s">
        <v>73</v>
      </c>
      <c r="P12" s="34" t="s">
        <v>45</v>
      </c>
    </row>
    <row r="13" spans="1:16" ht="21.75" customHeight="1">
      <c r="A13" s="15">
        <v>9</v>
      </c>
      <c r="B13" s="16" t="s">
        <v>74</v>
      </c>
      <c r="C13" s="17" t="s">
        <v>56</v>
      </c>
      <c r="D13" s="17">
        <v>75</v>
      </c>
      <c r="E13" s="19">
        <v>12</v>
      </c>
      <c r="F13" s="22">
        <f t="shared" si="0"/>
        <v>6.25</v>
      </c>
      <c r="G13" s="23">
        <v>10</v>
      </c>
      <c r="H13" s="22">
        <f t="shared" si="1"/>
        <v>3.75</v>
      </c>
      <c r="I13" s="25">
        <f t="shared" si="2"/>
        <v>0.375</v>
      </c>
      <c r="J13" s="25" t="s">
        <v>75</v>
      </c>
      <c r="K13" s="26">
        <v>12</v>
      </c>
      <c r="L13" s="27">
        <f t="shared" si="3"/>
        <v>5.75</v>
      </c>
      <c r="M13" s="29">
        <f t="shared" si="4"/>
        <v>0.47916666666666669</v>
      </c>
      <c r="N13" s="31">
        <f t="shared" si="5"/>
        <v>2</v>
      </c>
      <c r="O13" s="33" t="s">
        <v>76</v>
      </c>
      <c r="P13" s="34" t="s">
        <v>45</v>
      </c>
    </row>
    <row r="14" spans="1:16" ht="24" customHeight="1">
      <c r="A14" s="49">
        <v>10</v>
      </c>
      <c r="B14" s="50" t="s">
        <v>77</v>
      </c>
      <c r="C14" s="51" t="s">
        <v>56</v>
      </c>
      <c r="D14" s="51">
        <v>75</v>
      </c>
      <c r="E14" s="52">
        <v>12</v>
      </c>
      <c r="F14" s="53">
        <f t="shared" si="0"/>
        <v>6.25</v>
      </c>
      <c r="G14" s="54">
        <v>10</v>
      </c>
      <c r="H14" s="53">
        <f t="shared" si="1"/>
        <v>3.75</v>
      </c>
      <c r="I14" s="55">
        <f t="shared" si="2"/>
        <v>0.375</v>
      </c>
      <c r="J14" s="55" t="s">
        <v>75</v>
      </c>
      <c r="K14" s="26">
        <v>12</v>
      </c>
      <c r="L14" s="27">
        <f t="shared" si="3"/>
        <v>5.75</v>
      </c>
      <c r="M14" s="29">
        <f t="shared" si="4"/>
        <v>0.47916666666666669</v>
      </c>
      <c r="N14" s="31">
        <f t="shared" si="5"/>
        <v>2</v>
      </c>
      <c r="O14" s="33" t="s">
        <v>76</v>
      </c>
      <c r="P14" s="34" t="s">
        <v>45</v>
      </c>
    </row>
    <row r="15" spans="1:16" ht="25.5" customHeight="1">
      <c r="A15" s="56">
        <v>11</v>
      </c>
      <c r="B15" s="57" t="s">
        <v>78</v>
      </c>
      <c r="C15" s="58" t="s">
        <v>79</v>
      </c>
      <c r="D15" s="58">
        <v>150</v>
      </c>
      <c r="E15" s="59">
        <v>11</v>
      </c>
      <c r="F15" s="60">
        <f t="shared" si="0"/>
        <v>13.636363636363637</v>
      </c>
      <c r="G15" s="61" t="s">
        <v>80</v>
      </c>
      <c r="H15" s="62" t="s">
        <v>80</v>
      </c>
      <c r="I15" s="63" t="s">
        <v>80</v>
      </c>
      <c r="J15" s="63" t="s">
        <v>81</v>
      </c>
      <c r="K15" s="26">
        <v>25</v>
      </c>
      <c r="L15" s="27">
        <f t="shared" si="3"/>
        <v>11.363636363636363</v>
      </c>
      <c r="M15" s="29">
        <f t="shared" si="4"/>
        <v>0.45454545454545453</v>
      </c>
      <c r="N15" s="31">
        <f>L15</f>
        <v>11.363636363636363</v>
      </c>
      <c r="O15" s="33" t="s">
        <v>83</v>
      </c>
      <c r="P15" s="34" t="s">
        <v>45</v>
      </c>
    </row>
    <row r="16" spans="1:16" ht="14.25" customHeight="1">
      <c r="A16" s="34">
        <v>12</v>
      </c>
      <c r="B16" s="33" t="s">
        <v>84</v>
      </c>
      <c r="C16" s="34" t="s">
        <v>86</v>
      </c>
      <c r="D16" s="65">
        <v>105</v>
      </c>
      <c r="E16" s="67">
        <v>32</v>
      </c>
      <c r="F16" s="27">
        <f t="shared" si="0"/>
        <v>3.28125</v>
      </c>
      <c r="G16" s="69">
        <v>5</v>
      </c>
      <c r="H16" s="27">
        <f t="shared" ref="H16:H21" si="6">G16-F16</f>
        <v>1.71875</v>
      </c>
      <c r="I16" s="29">
        <f t="shared" ref="I16:I21" si="7">H16/G16</f>
        <v>0.34375</v>
      </c>
      <c r="J16" s="33" t="s">
        <v>93</v>
      </c>
      <c r="K16" s="26">
        <v>7</v>
      </c>
      <c r="L16" s="27">
        <f t="shared" si="3"/>
        <v>3.71875</v>
      </c>
      <c r="M16" s="29">
        <f t="shared" si="4"/>
        <v>0.53125</v>
      </c>
      <c r="N16" s="31">
        <f t="shared" ref="N16:N21" si="8">L16-H16</f>
        <v>2</v>
      </c>
      <c r="O16" s="33" t="s">
        <v>94</v>
      </c>
      <c r="P16" s="34" t="s">
        <v>45</v>
      </c>
    </row>
    <row r="17" spans="1:16" ht="14.25" customHeight="1">
      <c r="A17" s="71">
        <v>13</v>
      </c>
      <c r="B17" s="33" t="s">
        <v>95</v>
      </c>
      <c r="C17" s="34" t="s">
        <v>67</v>
      </c>
      <c r="D17" s="65">
        <v>30</v>
      </c>
      <c r="E17" s="67">
        <v>18.5</v>
      </c>
      <c r="F17" s="27">
        <f t="shared" si="0"/>
        <v>1.6216216216216217</v>
      </c>
      <c r="G17" s="69">
        <v>5</v>
      </c>
      <c r="H17" s="27">
        <f t="shared" si="6"/>
        <v>3.3783783783783781</v>
      </c>
      <c r="I17" s="29">
        <f t="shared" si="7"/>
        <v>0.67567567567567566</v>
      </c>
      <c r="J17" s="33" t="s">
        <v>43</v>
      </c>
      <c r="K17" s="26">
        <v>5</v>
      </c>
      <c r="L17" s="27">
        <f t="shared" si="3"/>
        <v>3.3783783783783781</v>
      </c>
      <c r="M17" s="29">
        <f t="shared" si="4"/>
        <v>0.67567567567567566</v>
      </c>
      <c r="N17" s="31">
        <f t="shared" si="8"/>
        <v>0</v>
      </c>
      <c r="O17" s="33" t="s">
        <v>96</v>
      </c>
      <c r="P17" s="34" t="s">
        <v>45</v>
      </c>
    </row>
    <row r="18" spans="1:16" ht="14.25" customHeight="1">
      <c r="A18" s="34">
        <v>14</v>
      </c>
      <c r="B18" s="33" t="s">
        <v>97</v>
      </c>
      <c r="C18" s="34" t="s">
        <v>67</v>
      </c>
      <c r="D18" s="65">
        <v>30</v>
      </c>
      <c r="E18" s="67">
        <v>14.2</v>
      </c>
      <c r="F18" s="27">
        <f t="shared" si="0"/>
        <v>2.1126760563380285</v>
      </c>
      <c r="G18" s="69">
        <v>10</v>
      </c>
      <c r="H18" s="27">
        <f t="shared" si="6"/>
        <v>7.887323943661972</v>
      </c>
      <c r="I18" s="29">
        <f t="shared" si="7"/>
        <v>0.78873239436619724</v>
      </c>
      <c r="J18" s="33" t="s">
        <v>98</v>
      </c>
      <c r="K18" s="26">
        <v>10</v>
      </c>
      <c r="L18" s="27">
        <f t="shared" si="3"/>
        <v>7.887323943661972</v>
      </c>
      <c r="M18" s="29">
        <f t="shared" si="4"/>
        <v>0.78873239436619724</v>
      </c>
      <c r="N18" s="31">
        <f t="shared" si="8"/>
        <v>0</v>
      </c>
      <c r="O18" s="33" t="s">
        <v>99</v>
      </c>
      <c r="P18" s="34" t="s">
        <v>45</v>
      </c>
    </row>
    <row r="19" spans="1:16" ht="14.25" customHeight="1">
      <c r="A19" s="71">
        <v>15</v>
      </c>
      <c r="B19" s="33" t="s">
        <v>100</v>
      </c>
      <c r="C19" s="34" t="s">
        <v>101</v>
      </c>
      <c r="D19" s="65">
        <v>29</v>
      </c>
      <c r="E19" s="67">
        <v>20</v>
      </c>
      <c r="F19" s="27">
        <f t="shared" si="0"/>
        <v>1.45</v>
      </c>
      <c r="G19" s="69">
        <v>10</v>
      </c>
      <c r="H19" s="27">
        <f t="shared" si="6"/>
        <v>8.5500000000000007</v>
      </c>
      <c r="I19" s="29">
        <f t="shared" si="7"/>
        <v>0.85500000000000009</v>
      </c>
      <c r="J19" s="33" t="s">
        <v>102</v>
      </c>
      <c r="K19" s="26">
        <v>20</v>
      </c>
      <c r="L19" s="27">
        <f t="shared" si="3"/>
        <v>18.55</v>
      </c>
      <c r="M19" s="29">
        <f t="shared" si="4"/>
        <v>0.92749999999999999</v>
      </c>
      <c r="N19" s="31">
        <f t="shared" si="8"/>
        <v>10</v>
      </c>
      <c r="O19" s="33" t="s">
        <v>103</v>
      </c>
      <c r="P19" s="34" t="s">
        <v>104</v>
      </c>
    </row>
    <row r="20" spans="1:16" ht="14.25" customHeight="1">
      <c r="A20" s="34">
        <v>16</v>
      </c>
      <c r="B20" s="33" t="s">
        <v>105</v>
      </c>
      <c r="C20" s="34" t="s">
        <v>101</v>
      </c>
      <c r="D20" s="65">
        <v>32</v>
      </c>
      <c r="E20" s="67">
        <v>20</v>
      </c>
      <c r="F20" s="27">
        <f t="shared" si="0"/>
        <v>1.6</v>
      </c>
      <c r="G20" s="69">
        <v>10</v>
      </c>
      <c r="H20" s="27">
        <f t="shared" si="6"/>
        <v>8.4</v>
      </c>
      <c r="I20" s="29">
        <f t="shared" si="7"/>
        <v>0.84000000000000008</v>
      </c>
      <c r="J20" s="33" t="s">
        <v>102</v>
      </c>
      <c r="K20" s="26">
        <v>20</v>
      </c>
      <c r="L20" s="27">
        <f t="shared" si="3"/>
        <v>18.399999999999999</v>
      </c>
      <c r="M20" s="29">
        <f t="shared" si="4"/>
        <v>0.91999999999999993</v>
      </c>
      <c r="N20" s="31">
        <f t="shared" si="8"/>
        <v>9.9999999999999982</v>
      </c>
      <c r="O20" s="33" t="s">
        <v>103</v>
      </c>
      <c r="P20" s="34" t="s">
        <v>104</v>
      </c>
    </row>
    <row r="21" spans="1:16" ht="14.25" customHeight="1">
      <c r="A21" s="71">
        <v>17</v>
      </c>
      <c r="B21" s="33" t="s">
        <v>106</v>
      </c>
      <c r="C21" s="34" t="s">
        <v>101</v>
      </c>
      <c r="D21" s="65">
        <v>20</v>
      </c>
      <c r="E21" s="67">
        <v>20</v>
      </c>
      <c r="F21" s="27">
        <f t="shared" si="0"/>
        <v>1</v>
      </c>
      <c r="G21" s="69">
        <v>10</v>
      </c>
      <c r="H21" s="27">
        <f t="shared" si="6"/>
        <v>9</v>
      </c>
      <c r="I21" s="29">
        <f t="shared" si="7"/>
        <v>0.9</v>
      </c>
      <c r="J21" s="33" t="s">
        <v>107</v>
      </c>
      <c r="K21" s="26">
        <v>20</v>
      </c>
      <c r="L21" s="27">
        <f t="shared" si="3"/>
        <v>19</v>
      </c>
      <c r="M21" s="29">
        <f t="shared" si="4"/>
        <v>0.95</v>
      </c>
      <c r="N21" s="31">
        <f t="shared" si="8"/>
        <v>10</v>
      </c>
      <c r="O21" s="33" t="s">
        <v>108</v>
      </c>
      <c r="P21" s="34" t="s">
        <v>104</v>
      </c>
    </row>
    <row r="22" spans="1:16" ht="14.25" customHeight="1">
      <c r="A22" s="76"/>
      <c r="B22" s="33" t="s">
        <v>110</v>
      </c>
      <c r="C22" s="33"/>
      <c r="D22" s="65">
        <f t="shared" ref="D22:F22" si="9">AVERAGE(D5:D15)</f>
        <v>98.181818181818187</v>
      </c>
      <c r="E22" s="67">
        <f t="shared" si="9"/>
        <v>17.5</v>
      </c>
      <c r="F22" s="65">
        <f t="shared" si="9"/>
        <v>5.9103701198982499</v>
      </c>
      <c r="G22" s="33"/>
      <c r="H22" s="33"/>
      <c r="I22" s="33"/>
      <c r="J22" s="33"/>
      <c r="K22" s="79">
        <f t="shared" ref="K22:M22" si="10">AVERAGE(K5:K15)</f>
        <v>12.272727272727273</v>
      </c>
      <c r="L22" s="65">
        <f t="shared" si="10"/>
        <v>6.3623571528290226</v>
      </c>
      <c r="M22" s="29">
        <f t="shared" si="10"/>
        <v>0.52986481345745495</v>
      </c>
      <c r="N22" s="33"/>
      <c r="O22" s="33"/>
      <c r="P22" s="33"/>
    </row>
    <row r="23" spans="1:16" ht="14.25" customHeight="1">
      <c r="A23" s="80"/>
      <c r="B23" s="33" t="s">
        <v>114</v>
      </c>
      <c r="C23" s="33"/>
      <c r="D23" s="65">
        <f t="shared" ref="D23:E23" si="11">SUM(D5:D21)</f>
        <v>1326</v>
      </c>
      <c r="E23" s="67">
        <f t="shared" si="11"/>
        <v>317.2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1:16" ht="14.25" customHeight="1"/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sqref="A1:H1"/>
    </sheetView>
  </sheetViews>
  <sheetFormatPr defaultColWidth="14.453125" defaultRowHeight="15" customHeight="1"/>
  <cols>
    <col min="1" max="1" width="29" customWidth="1"/>
    <col min="2" max="2" width="15.7265625" customWidth="1"/>
    <col min="4" max="4" width="17" customWidth="1"/>
    <col min="5" max="6" width="14.81640625" customWidth="1"/>
    <col min="7" max="7" width="18.08984375" customWidth="1"/>
    <col min="8" max="8" width="19.08984375" customWidth="1"/>
    <col min="9" max="26" width="8.7265625" customWidth="1"/>
  </cols>
  <sheetData>
    <row r="1" spans="1:8" ht="34.5" customHeight="1">
      <c r="A1" s="86" t="s">
        <v>1</v>
      </c>
      <c r="B1" s="82"/>
      <c r="C1" s="82"/>
      <c r="D1" s="82"/>
      <c r="E1" s="82"/>
      <c r="F1" s="82"/>
      <c r="G1" s="82"/>
      <c r="H1" s="83"/>
    </row>
    <row r="2" spans="1:8" ht="19.5" customHeight="1">
      <c r="A2" s="87" t="s">
        <v>7</v>
      </c>
      <c r="B2" s="85"/>
      <c r="C2" s="85"/>
      <c r="D2" s="85"/>
      <c r="E2" s="85"/>
      <c r="F2" s="85"/>
      <c r="G2" s="85"/>
      <c r="H2" s="85"/>
    </row>
    <row r="3" spans="1:8" ht="14.25" customHeight="1">
      <c r="A3" s="7"/>
      <c r="B3" s="7"/>
      <c r="C3" s="7"/>
      <c r="D3" s="7"/>
      <c r="E3" s="7"/>
      <c r="F3" s="7"/>
      <c r="G3" s="7"/>
      <c r="H3" s="7"/>
    </row>
    <row r="4" spans="1:8" ht="14.25" customHeight="1">
      <c r="A4" s="88" t="s">
        <v>22</v>
      </c>
      <c r="B4" s="85"/>
      <c r="C4" s="85"/>
      <c r="D4" s="85"/>
      <c r="E4" s="85"/>
      <c r="F4" s="85"/>
      <c r="G4" s="85"/>
      <c r="H4" s="85"/>
    </row>
    <row r="5" spans="1:8" ht="27.75" customHeight="1">
      <c r="A5" s="9" t="s">
        <v>23</v>
      </c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</row>
    <row r="6" spans="1:8" ht="21.75" customHeight="1">
      <c r="A6" s="12" t="s">
        <v>34</v>
      </c>
      <c r="B6" s="13">
        <v>350</v>
      </c>
      <c r="C6" s="13">
        <v>166.67</v>
      </c>
      <c r="D6" s="13">
        <f t="shared" ref="D6:D9" si="0">B6+C6</f>
        <v>516.66999999999996</v>
      </c>
      <c r="E6" s="21">
        <f t="shared" ref="E6:E9" si="1">ROUNDUP(D6/5.1538, 0)</f>
        <v>101</v>
      </c>
      <c r="F6" s="13">
        <f t="shared" ref="F6:F10" si="2">E6*10</f>
        <v>1010</v>
      </c>
      <c r="G6" s="13">
        <v>1116</v>
      </c>
      <c r="H6" s="28" t="str">
        <f t="shared" ref="H6:H10" si="3">IF(G6&gt;=F6,"ผ่านคุ้มทุน (" &amp; TEXT(G6/F6,"0%") &amp; ")","ยังไม่คุ้มทุน")</f>
        <v>ผ่านคุ้มทุน (110%)</v>
      </c>
    </row>
    <row r="7" spans="1:8" ht="21.75" customHeight="1">
      <c r="A7" s="30" t="s">
        <v>44</v>
      </c>
      <c r="B7" s="32">
        <v>350</v>
      </c>
      <c r="C7" s="32">
        <v>111.11</v>
      </c>
      <c r="D7" s="32">
        <f t="shared" si="0"/>
        <v>461.11</v>
      </c>
      <c r="E7" s="36">
        <f t="shared" si="1"/>
        <v>90</v>
      </c>
      <c r="F7" s="32">
        <f t="shared" si="2"/>
        <v>900</v>
      </c>
      <c r="G7" s="32">
        <v>1061</v>
      </c>
      <c r="H7" s="40" t="str">
        <f t="shared" si="3"/>
        <v>ผ่านคุ้มทุน (118%)</v>
      </c>
    </row>
    <row r="8" spans="1:8" ht="21.75" customHeight="1">
      <c r="A8" s="12" t="s">
        <v>48</v>
      </c>
      <c r="B8" s="13">
        <v>350</v>
      </c>
      <c r="C8" s="13">
        <v>133.33000000000001</v>
      </c>
      <c r="D8" s="13">
        <f t="shared" si="0"/>
        <v>483.33000000000004</v>
      </c>
      <c r="E8" s="21">
        <f t="shared" si="1"/>
        <v>94</v>
      </c>
      <c r="F8" s="13">
        <f t="shared" si="2"/>
        <v>940</v>
      </c>
      <c r="G8" s="13">
        <v>1408</v>
      </c>
      <c r="H8" s="28" t="str">
        <f t="shared" si="3"/>
        <v>ผ่านคุ้มทุน (150%)</v>
      </c>
    </row>
    <row r="9" spans="1:8" ht="21.75" customHeight="1">
      <c r="A9" s="30" t="s">
        <v>50</v>
      </c>
      <c r="B9" s="32">
        <v>350</v>
      </c>
      <c r="C9" s="32">
        <v>111.11</v>
      </c>
      <c r="D9" s="32">
        <f t="shared" si="0"/>
        <v>461.11</v>
      </c>
      <c r="E9" s="36">
        <f t="shared" si="1"/>
        <v>90</v>
      </c>
      <c r="F9" s="32">
        <f t="shared" si="2"/>
        <v>900</v>
      </c>
      <c r="G9" s="32">
        <v>1244</v>
      </c>
      <c r="H9" s="40" t="str">
        <f t="shared" si="3"/>
        <v>ผ่านคุ้มทุน (138%)</v>
      </c>
    </row>
    <row r="10" spans="1:8" ht="24" customHeight="1">
      <c r="A10" s="44" t="s">
        <v>51</v>
      </c>
      <c r="B10" s="45">
        <f t="shared" ref="B10:E10" si="4">SUM(B6:B9)</f>
        <v>1400</v>
      </c>
      <c r="C10" s="45">
        <f t="shared" si="4"/>
        <v>522.22</v>
      </c>
      <c r="D10" s="45">
        <f t="shared" si="4"/>
        <v>1922.2200000000003</v>
      </c>
      <c r="E10" s="46">
        <f t="shared" si="4"/>
        <v>375</v>
      </c>
      <c r="F10" s="45">
        <f t="shared" si="2"/>
        <v>3750</v>
      </c>
      <c r="G10" s="45">
        <f>SUM(G6:G9)</f>
        <v>4829</v>
      </c>
      <c r="H10" s="47" t="str">
        <f t="shared" si="3"/>
        <v>ผ่านคุ้มทุน (129%)</v>
      </c>
    </row>
    <row r="11" spans="1:8" ht="14.25" customHeight="1">
      <c r="A11" s="7"/>
      <c r="B11" s="7"/>
      <c r="C11" s="7"/>
      <c r="D11" s="7"/>
      <c r="E11" s="7"/>
      <c r="F11" s="7"/>
      <c r="G11" s="7"/>
      <c r="H11" s="7"/>
    </row>
    <row r="12" spans="1:8" ht="14.25" customHeight="1">
      <c r="A12" s="88" t="s">
        <v>57</v>
      </c>
      <c r="B12" s="85"/>
      <c r="C12" s="85"/>
      <c r="D12" s="85"/>
      <c r="E12" s="85"/>
      <c r="F12" s="85"/>
      <c r="G12" s="85"/>
      <c r="H12" s="85"/>
    </row>
    <row r="13" spans="1:8" ht="27.75" customHeight="1">
      <c r="A13" s="48" t="s">
        <v>23</v>
      </c>
      <c r="B13" s="48" t="s">
        <v>59</v>
      </c>
      <c r="C13" s="48" t="s">
        <v>61</v>
      </c>
      <c r="D13" s="48" t="s">
        <v>62</v>
      </c>
      <c r="E13" s="48" t="s">
        <v>63</v>
      </c>
      <c r="F13" s="48" t="s">
        <v>64</v>
      </c>
      <c r="G13" s="48" t="s">
        <v>66</v>
      </c>
      <c r="H13" s="48" t="s">
        <v>68</v>
      </c>
    </row>
    <row r="14" spans="1:8" ht="21.75" customHeight="1">
      <c r="A14" s="12" t="s">
        <v>34</v>
      </c>
      <c r="B14" s="13">
        <f t="shared" ref="B14:C14" si="5">B6*30</f>
        <v>10500</v>
      </c>
      <c r="C14" s="13">
        <f t="shared" si="5"/>
        <v>5000.0999999999995</v>
      </c>
      <c r="D14" s="13">
        <f t="shared" ref="D14:D17" si="6">B14+C14</f>
        <v>15500.099999999999</v>
      </c>
      <c r="E14" s="21">
        <f t="shared" ref="E14:E17" si="7">ROUNDUP(D14/5.1538, 0)</f>
        <v>3008</v>
      </c>
      <c r="F14" s="13">
        <f t="shared" ref="F14:F18" si="8">E14*10</f>
        <v>30080</v>
      </c>
      <c r="G14" s="21">
        <f t="shared" ref="G14:G17" si="9">ROUNDUP(E14/14.44, 0)</f>
        <v>209</v>
      </c>
      <c r="H14" s="13">
        <f t="shared" ref="H14:H18" si="10">F14/30</f>
        <v>1002.6666666666666</v>
      </c>
    </row>
    <row r="15" spans="1:8" ht="21.75" customHeight="1">
      <c r="A15" s="30" t="s">
        <v>44</v>
      </c>
      <c r="B15" s="32">
        <f t="shared" ref="B15:C15" si="11">B7*30</f>
        <v>10500</v>
      </c>
      <c r="C15" s="32">
        <f t="shared" si="11"/>
        <v>3333.3</v>
      </c>
      <c r="D15" s="32">
        <f t="shared" si="6"/>
        <v>13833.3</v>
      </c>
      <c r="E15" s="36">
        <f t="shared" si="7"/>
        <v>2685</v>
      </c>
      <c r="F15" s="32">
        <f t="shared" si="8"/>
        <v>26850</v>
      </c>
      <c r="G15" s="36">
        <f t="shared" si="9"/>
        <v>186</v>
      </c>
      <c r="H15" s="32">
        <f t="shared" si="10"/>
        <v>895</v>
      </c>
    </row>
    <row r="16" spans="1:8" ht="21.75" customHeight="1">
      <c r="A16" s="12" t="s">
        <v>48</v>
      </c>
      <c r="B16" s="13">
        <f t="shared" ref="B16:C16" si="12">B8*30</f>
        <v>10500</v>
      </c>
      <c r="C16" s="13">
        <f t="shared" si="12"/>
        <v>3999.9000000000005</v>
      </c>
      <c r="D16" s="13">
        <f t="shared" si="6"/>
        <v>14499.900000000001</v>
      </c>
      <c r="E16" s="21">
        <f t="shared" si="7"/>
        <v>2814</v>
      </c>
      <c r="F16" s="13">
        <f t="shared" si="8"/>
        <v>28140</v>
      </c>
      <c r="G16" s="21">
        <f t="shared" si="9"/>
        <v>195</v>
      </c>
      <c r="H16" s="13">
        <f t="shared" si="10"/>
        <v>938</v>
      </c>
    </row>
    <row r="17" spans="1:8" ht="21.75" customHeight="1">
      <c r="A17" s="30" t="s">
        <v>50</v>
      </c>
      <c r="B17" s="32">
        <f t="shared" ref="B17:C17" si="13">B9*30</f>
        <v>10500</v>
      </c>
      <c r="C17" s="32">
        <f t="shared" si="13"/>
        <v>3333.3</v>
      </c>
      <c r="D17" s="32">
        <f t="shared" si="6"/>
        <v>13833.3</v>
      </c>
      <c r="E17" s="36">
        <f t="shared" si="7"/>
        <v>2685</v>
      </c>
      <c r="F17" s="32">
        <f t="shared" si="8"/>
        <v>26850</v>
      </c>
      <c r="G17" s="36">
        <f t="shared" si="9"/>
        <v>186</v>
      </c>
      <c r="H17" s="32">
        <f t="shared" si="10"/>
        <v>895</v>
      </c>
    </row>
    <row r="18" spans="1:8" ht="24" customHeight="1">
      <c r="A18" s="44" t="s">
        <v>51</v>
      </c>
      <c r="B18" s="45">
        <f t="shared" ref="B18:E18" si="14">SUM(B14:B17)</f>
        <v>42000</v>
      </c>
      <c r="C18" s="45">
        <f t="shared" si="14"/>
        <v>15666.599999999999</v>
      </c>
      <c r="D18" s="45">
        <f t="shared" si="14"/>
        <v>57666.600000000006</v>
      </c>
      <c r="E18" s="46">
        <f t="shared" si="14"/>
        <v>11192</v>
      </c>
      <c r="F18" s="45">
        <f t="shared" si="8"/>
        <v>111920</v>
      </c>
      <c r="G18" s="46">
        <f>SUM(G14:G17)</f>
        <v>776</v>
      </c>
      <c r="H18" s="45">
        <f t="shared" si="10"/>
        <v>3730.6666666666665</v>
      </c>
    </row>
    <row r="19" spans="1:8" ht="14.25" customHeight="1">
      <c r="A19" s="7"/>
      <c r="B19" s="7"/>
      <c r="C19" s="7"/>
      <c r="D19" s="7"/>
      <c r="E19" s="7"/>
      <c r="F19" s="7"/>
      <c r="G19" s="7"/>
      <c r="H19" s="7"/>
    </row>
    <row r="20" spans="1:8" ht="14.25" customHeight="1">
      <c r="A20" s="88" t="s">
        <v>82</v>
      </c>
      <c r="B20" s="85"/>
      <c r="C20" s="85"/>
      <c r="D20" s="85"/>
      <c r="E20" s="85"/>
      <c r="F20" s="85"/>
      <c r="G20" s="85"/>
      <c r="H20" s="85"/>
    </row>
    <row r="21" spans="1:8" ht="27.75" customHeight="1">
      <c r="A21" s="64" t="s">
        <v>31</v>
      </c>
      <c r="B21" s="64" t="s">
        <v>85</v>
      </c>
      <c r="C21" s="64" t="s">
        <v>87</v>
      </c>
      <c r="D21" s="64" t="s">
        <v>88</v>
      </c>
      <c r="E21" s="64" t="s">
        <v>89</v>
      </c>
      <c r="F21" s="64" t="s">
        <v>90</v>
      </c>
      <c r="G21" s="64" t="s">
        <v>91</v>
      </c>
      <c r="H21" s="64" t="s">
        <v>92</v>
      </c>
    </row>
    <row r="22" spans="1:8" ht="21.75" customHeight="1">
      <c r="A22" s="66" t="s">
        <v>21</v>
      </c>
      <c r="B22" s="68">
        <v>3</v>
      </c>
      <c r="C22" s="68">
        <v>7</v>
      </c>
      <c r="D22" s="70">
        <f t="shared" ref="D22:D30" si="15">ROUNDUP(516.67/C22, 0)</f>
        <v>74</v>
      </c>
      <c r="E22" s="70">
        <f t="shared" ref="E22:E30" si="16">ROUNDUP(461.11/C22, 0)</f>
        <v>66</v>
      </c>
      <c r="F22" s="70">
        <f t="shared" ref="F22:F30" si="17">ROUNDUP(483.33/C22, 0)</f>
        <v>70</v>
      </c>
      <c r="G22" s="70">
        <f t="shared" ref="G22:G30" si="18">ROUNDUP(461.11/C22, 0)</f>
        <v>66</v>
      </c>
      <c r="H22" s="70">
        <f t="shared" ref="H22:H30" si="19">ROUNDUP(1922.22/C22, 0)</f>
        <v>275</v>
      </c>
    </row>
    <row r="23" spans="1:8" ht="21.75" customHeight="1">
      <c r="A23" s="73" t="s">
        <v>42</v>
      </c>
      <c r="B23" s="74">
        <v>3.75</v>
      </c>
      <c r="C23" s="74">
        <v>6.25</v>
      </c>
      <c r="D23" s="75">
        <f t="shared" si="15"/>
        <v>83</v>
      </c>
      <c r="E23" s="75">
        <f t="shared" si="16"/>
        <v>74</v>
      </c>
      <c r="F23" s="75">
        <f t="shared" si="17"/>
        <v>78</v>
      </c>
      <c r="G23" s="75">
        <f t="shared" si="18"/>
        <v>74</v>
      </c>
      <c r="H23" s="75">
        <f t="shared" si="19"/>
        <v>308</v>
      </c>
    </row>
    <row r="24" spans="1:8" ht="21.75" customHeight="1">
      <c r="A24" s="66" t="s">
        <v>47</v>
      </c>
      <c r="B24" s="68">
        <v>4.62</v>
      </c>
      <c r="C24" s="68">
        <v>5.38</v>
      </c>
      <c r="D24" s="70">
        <f t="shared" si="15"/>
        <v>97</v>
      </c>
      <c r="E24" s="70">
        <f t="shared" si="16"/>
        <v>86</v>
      </c>
      <c r="F24" s="70">
        <f t="shared" si="17"/>
        <v>90</v>
      </c>
      <c r="G24" s="70">
        <f t="shared" si="18"/>
        <v>86</v>
      </c>
      <c r="H24" s="70">
        <f t="shared" si="19"/>
        <v>358</v>
      </c>
    </row>
    <row r="25" spans="1:8" ht="21.75" customHeight="1">
      <c r="A25" s="73" t="s">
        <v>53</v>
      </c>
      <c r="B25" s="74">
        <v>5</v>
      </c>
      <c r="C25" s="74">
        <v>5</v>
      </c>
      <c r="D25" s="75">
        <f t="shared" si="15"/>
        <v>104</v>
      </c>
      <c r="E25" s="75">
        <f t="shared" si="16"/>
        <v>93</v>
      </c>
      <c r="F25" s="75">
        <f t="shared" si="17"/>
        <v>97</v>
      </c>
      <c r="G25" s="75">
        <f t="shared" si="18"/>
        <v>93</v>
      </c>
      <c r="H25" s="75">
        <f t="shared" si="19"/>
        <v>385</v>
      </c>
    </row>
    <row r="26" spans="1:8" ht="21.75" customHeight="1">
      <c r="A26" s="66" t="s">
        <v>54</v>
      </c>
      <c r="B26" s="68">
        <v>5</v>
      </c>
      <c r="C26" s="68">
        <v>5</v>
      </c>
      <c r="D26" s="70">
        <f t="shared" si="15"/>
        <v>104</v>
      </c>
      <c r="E26" s="70">
        <f t="shared" si="16"/>
        <v>93</v>
      </c>
      <c r="F26" s="70">
        <f t="shared" si="17"/>
        <v>97</v>
      </c>
      <c r="G26" s="70">
        <f t="shared" si="18"/>
        <v>93</v>
      </c>
      <c r="H26" s="70">
        <f t="shared" si="19"/>
        <v>385</v>
      </c>
    </row>
    <row r="27" spans="1:8" ht="21.75" customHeight="1">
      <c r="A27" s="73" t="s">
        <v>55</v>
      </c>
      <c r="B27" s="74">
        <v>5.38</v>
      </c>
      <c r="C27" s="74">
        <v>4.62</v>
      </c>
      <c r="D27" s="75">
        <f t="shared" si="15"/>
        <v>112</v>
      </c>
      <c r="E27" s="75">
        <f t="shared" si="16"/>
        <v>100</v>
      </c>
      <c r="F27" s="75">
        <f t="shared" si="17"/>
        <v>105</v>
      </c>
      <c r="G27" s="75">
        <f t="shared" si="18"/>
        <v>100</v>
      </c>
      <c r="H27" s="75">
        <f t="shared" si="19"/>
        <v>417</v>
      </c>
    </row>
    <row r="28" spans="1:8" ht="21.75" customHeight="1">
      <c r="A28" s="66" t="s">
        <v>71</v>
      </c>
      <c r="B28" s="68">
        <v>6.07</v>
      </c>
      <c r="C28" s="68">
        <v>3.93</v>
      </c>
      <c r="D28" s="70">
        <f t="shared" si="15"/>
        <v>132</v>
      </c>
      <c r="E28" s="70">
        <f t="shared" si="16"/>
        <v>118</v>
      </c>
      <c r="F28" s="70">
        <f t="shared" si="17"/>
        <v>123</v>
      </c>
      <c r="G28" s="70">
        <f t="shared" si="18"/>
        <v>118</v>
      </c>
      <c r="H28" s="70">
        <f t="shared" si="19"/>
        <v>490</v>
      </c>
    </row>
    <row r="29" spans="1:8" ht="21.75" customHeight="1">
      <c r="A29" s="73" t="s">
        <v>74</v>
      </c>
      <c r="B29" s="74">
        <v>6.25</v>
      </c>
      <c r="C29" s="74">
        <v>3.75</v>
      </c>
      <c r="D29" s="75">
        <f t="shared" si="15"/>
        <v>138</v>
      </c>
      <c r="E29" s="75">
        <f t="shared" si="16"/>
        <v>123</v>
      </c>
      <c r="F29" s="75">
        <f t="shared" si="17"/>
        <v>129</v>
      </c>
      <c r="G29" s="75">
        <f t="shared" si="18"/>
        <v>123</v>
      </c>
      <c r="H29" s="75">
        <f t="shared" si="19"/>
        <v>513</v>
      </c>
    </row>
    <row r="30" spans="1:8" ht="21.75" customHeight="1">
      <c r="A30" s="66" t="s">
        <v>77</v>
      </c>
      <c r="B30" s="68">
        <v>6.25</v>
      </c>
      <c r="C30" s="68">
        <v>3.75</v>
      </c>
      <c r="D30" s="70">
        <f t="shared" si="15"/>
        <v>138</v>
      </c>
      <c r="E30" s="70">
        <f t="shared" si="16"/>
        <v>123</v>
      </c>
      <c r="F30" s="70">
        <f t="shared" si="17"/>
        <v>129</v>
      </c>
      <c r="G30" s="70">
        <f t="shared" si="18"/>
        <v>123</v>
      </c>
      <c r="H30" s="70">
        <f t="shared" si="19"/>
        <v>513</v>
      </c>
    </row>
    <row r="31" spans="1:8" ht="14.25" customHeight="1">
      <c r="A31" s="77" t="s">
        <v>109</v>
      </c>
      <c r="B31" s="11">
        <v>5.77</v>
      </c>
      <c r="C31" s="11">
        <v>6.23</v>
      </c>
      <c r="D31" s="14">
        <f t="shared" ref="D31:D38" si="20">ROUNDUP(D$6/C31, 0)</f>
        <v>83</v>
      </c>
      <c r="E31" s="14">
        <f t="shared" ref="E31:E38" si="21">ROUNDUP(D$7/C31, 0)</f>
        <v>75</v>
      </c>
      <c r="F31" s="14">
        <f t="shared" ref="F31:F38" si="22">ROUNDUP(D$8/C31, 0)</f>
        <v>78</v>
      </c>
      <c r="G31" s="14">
        <f t="shared" ref="G31:G38" si="23">ROUNDUP(D$9/C31, 0)</f>
        <v>75</v>
      </c>
      <c r="H31" s="14">
        <f t="shared" ref="H31:H38" si="24">ROUNDUP(D$10/C31, 0)</f>
        <v>309</v>
      </c>
    </row>
    <row r="32" spans="1:8" ht="14.25" customHeight="1">
      <c r="A32" s="78" t="s">
        <v>111</v>
      </c>
      <c r="B32" s="11">
        <v>13.64</v>
      </c>
      <c r="C32" s="11">
        <v>11.36</v>
      </c>
      <c r="D32" s="14">
        <f t="shared" si="20"/>
        <v>46</v>
      </c>
      <c r="E32" s="14">
        <f t="shared" si="21"/>
        <v>41</v>
      </c>
      <c r="F32" s="14">
        <f t="shared" si="22"/>
        <v>43</v>
      </c>
      <c r="G32" s="14">
        <f t="shared" si="23"/>
        <v>41</v>
      </c>
      <c r="H32" s="14">
        <f t="shared" si="24"/>
        <v>170</v>
      </c>
    </row>
    <row r="33" spans="1:8" ht="14.25" customHeight="1">
      <c r="A33" s="77" t="s">
        <v>112</v>
      </c>
      <c r="B33" s="11">
        <v>3.28</v>
      </c>
      <c r="C33" s="11">
        <v>3.72</v>
      </c>
      <c r="D33" s="14">
        <f t="shared" si="20"/>
        <v>139</v>
      </c>
      <c r="E33" s="14">
        <f t="shared" si="21"/>
        <v>124</v>
      </c>
      <c r="F33" s="14">
        <f t="shared" si="22"/>
        <v>130</v>
      </c>
      <c r="G33" s="14">
        <f t="shared" si="23"/>
        <v>124</v>
      </c>
      <c r="H33" s="14">
        <f t="shared" si="24"/>
        <v>517</v>
      </c>
    </row>
    <row r="34" spans="1:8" ht="14.25" customHeight="1">
      <c r="A34" s="6" t="s">
        <v>113</v>
      </c>
      <c r="B34" s="11">
        <v>1.95</v>
      </c>
      <c r="C34" s="11">
        <v>3.05</v>
      </c>
      <c r="D34" s="14">
        <f t="shared" si="20"/>
        <v>170</v>
      </c>
      <c r="E34" s="14">
        <f t="shared" si="21"/>
        <v>152</v>
      </c>
      <c r="F34" s="14">
        <f t="shared" si="22"/>
        <v>159</v>
      </c>
      <c r="G34" s="14">
        <f t="shared" si="23"/>
        <v>152</v>
      </c>
      <c r="H34" s="14">
        <f t="shared" si="24"/>
        <v>631</v>
      </c>
    </row>
    <row r="35" spans="1:8" ht="14.25" customHeight="1">
      <c r="A35" s="77" t="s">
        <v>115</v>
      </c>
      <c r="B35" s="11">
        <v>2.4500000000000002</v>
      </c>
      <c r="C35" s="11">
        <v>7.55</v>
      </c>
      <c r="D35" s="14">
        <f t="shared" si="20"/>
        <v>69</v>
      </c>
      <c r="E35" s="14">
        <f t="shared" si="21"/>
        <v>62</v>
      </c>
      <c r="F35" s="14">
        <f t="shared" si="22"/>
        <v>65</v>
      </c>
      <c r="G35" s="14">
        <f t="shared" si="23"/>
        <v>62</v>
      </c>
      <c r="H35" s="14">
        <f t="shared" si="24"/>
        <v>255</v>
      </c>
    </row>
    <row r="36" spans="1:8" ht="14.25" customHeight="1">
      <c r="A36" s="6" t="s">
        <v>116</v>
      </c>
      <c r="B36" s="11">
        <v>8.6999999999999993</v>
      </c>
      <c r="C36" s="11">
        <v>11.3</v>
      </c>
      <c r="D36" s="14">
        <f t="shared" si="20"/>
        <v>46</v>
      </c>
      <c r="E36" s="14">
        <f t="shared" si="21"/>
        <v>41</v>
      </c>
      <c r="F36" s="14">
        <f t="shared" si="22"/>
        <v>43</v>
      </c>
      <c r="G36" s="14">
        <f t="shared" si="23"/>
        <v>41</v>
      </c>
      <c r="H36" s="14">
        <f t="shared" si="24"/>
        <v>171</v>
      </c>
    </row>
    <row r="37" spans="1:8" ht="14.25" customHeight="1">
      <c r="A37" s="77" t="s">
        <v>117</v>
      </c>
      <c r="B37" s="11">
        <v>9.6</v>
      </c>
      <c r="C37" s="11">
        <v>10.4</v>
      </c>
      <c r="D37" s="14">
        <f t="shared" si="20"/>
        <v>50</v>
      </c>
      <c r="E37" s="14">
        <f t="shared" si="21"/>
        <v>45</v>
      </c>
      <c r="F37" s="14">
        <f t="shared" si="22"/>
        <v>47</v>
      </c>
      <c r="G37" s="14">
        <f t="shared" si="23"/>
        <v>45</v>
      </c>
      <c r="H37" s="14">
        <f t="shared" si="24"/>
        <v>185</v>
      </c>
    </row>
    <row r="38" spans="1:8" ht="14.25" customHeight="1">
      <c r="A38" s="6" t="s">
        <v>118</v>
      </c>
      <c r="B38" s="11">
        <v>7</v>
      </c>
      <c r="C38" s="11">
        <v>13</v>
      </c>
      <c r="D38" s="14">
        <f t="shared" si="20"/>
        <v>40</v>
      </c>
      <c r="E38" s="14">
        <f t="shared" si="21"/>
        <v>36</v>
      </c>
      <c r="F38" s="14">
        <f t="shared" si="22"/>
        <v>38</v>
      </c>
      <c r="G38" s="14">
        <f t="shared" si="23"/>
        <v>36</v>
      </c>
      <c r="H38" s="14">
        <f t="shared" si="24"/>
        <v>148</v>
      </c>
    </row>
    <row r="39" spans="1:8" ht="14.25" customHeight="1"/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H2"/>
    <mergeCell ref="A4:H4"/>
    <mergeCell ref="A12:H12"/>
    <mergeCell ref="A20:H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2FF4-1A1A-4750-A8CC-B4DA381B86B2}">
  <dimension ref="A1:M13"/>
  <sheetViews>
    <sheetView tabSelected="1" workbookViewId="0"/>
  </sheetViews>
  <sheetFormatPr defaultRowHeight="14.5"/>
  <cols>
    <col min="1" max="1" width="87.81640625" bestFit="1" customWidth="1"/>
    <col min="2" max="2" width="13.54296875" bestFit="1" customWidth="1"/>
    <col min="3" max="3" width="7.36328125" bestFit="1" customWidth="1"/>
    <col min="4" max="4" width="9.1796875" bestFit="1" customWidth="1"/>
    <col min="5" max="5" width="7.90625" bestFit="1" customWidth="1"/>
    <col min="6" max="6" width="8" bestFit="1" customWidth="1"/>
    <col min="7" max="7" width="7.90625" bestFit="1" customWidth="1"/>
    <col min="8" max="9" width="8" bestFit="1" customWidth="1"/>
    <col min="10" max="11" width="7.90625" bestFit="1" customWidth="1"/>
    <col min="12" max="12" width="7.81640625" bestFit="1" customWidth="1"/>
    <col min="13" max="13" width="67.08984375" bestFit="1" customWidth="1"/>
  </cols>
  <sheetData>
    <row r="1" spans="1:13" ht="23.5">
      <c r="A1" s="89" t="s">
        <v>120</v>
      </c>
    </row>
    <row r="2" spans="1:13">
      <c r="A2" s="90" t="s">
        <v>121</v>
      </c>
    </row>
    <row r="4" spans="1:13" ht="108">
      <c r="A4" s="91" t="s">
        <v>6</v>
      </c>
      <c r="B4" s="91" t="s">
        <v>31</v>
      </c>
      <c r="C4" s="91" t="s">
        <v>122</v>
      </c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17</v>
      </c>
      <c r="M4" s="91" t="s">
        <v>131</v>
      </c>
    </row>
    <row r="5" spans="1:13">
      <c r="A5" s="92">
        <v>1</v>
      </c>
      <c r="B5" s="93" t="s">
        <v>21</v>
      </c>
      <c r="C5" s="94">
        <v>60</v>
      </c>
      <c r="D5" s="95" t="s">
        <v>132</v>
      </c>
      <c r="E5" s="94">
        <f>C5/18</f>
        <v>3.3333333333333335</v>
      </c>
      <c r="F5" s="94">
        <f>C5/19</f>
        <v>3.1578947368421053</v>
      </c>
      <c r="G5" s="94">
        <f>C5/20</f>
        <v>3</v>
      </c>
      <c r="H5" s="96">
        <v>10</v>
      </c>
      <c r="I5" s="94">
        <f>H5-F5</f>
        <v>6.8421052631578947</v>
      </c>
      <c r="J5" s="97">
        <v>10</v>
      </c>
      <c r="K5" s="94">
        <f>J5-F5</f>
        <v>6.8421052631578947</v>
      </c>
      <c r="L5" s="98">
        <f>K5/J5</f>
        <v>0.68421052631578949</v>
      </c>
      <c r="M5" s="93" t="s">
        <v>133</v>
      </c>
    </row>
    <row r="6" spans="1:13">
      <c r="A6" s="95">
        <v>2</v>
      </c>
      <c r="B6" s="93" t="s">
        <v>47</v>
      </c>
      <c r="C6" s="94">
        <v>60</v>
      </c>
      <c r="D6" s="95" t="s">
        <v>134</v>
      </c>
      <c r="E6" s="94">
        <f>C6/12</f>
        <v>5</v>
      </c>
      <c r="F6" s="94">
        <f>C6/12.5</f>
        <v>4.8</v>
      </c>
      <c r="G6" s="94">
        <f>C6/13</f>
        <v>4.615384615384615</v>
      </c>
      <c r="H6" s="96">
        <v>10</v>
      </c>
      <c r="I6" s="94">
        <f>H6-F6</f>
        <v>5.2</v>
      </c>
      <c r="J6" s="97">
        <v>10</v>
      </c>
      <c r="K6" s="94">
        <f>J6-F6</f>
        <v>5.2</v>
      </c>
      <c r="L6" s="98">
        <f>K6/J6</f>
        <v>0.52</v>
      </c>
      <c r="M6" s="93" t="s">
        <v>135</v>
      </c>
    </row>
    <row r="7" spans="1:13">
      <c r="A7" s="92">
        <v>3</v>
      </c>
      <c r="B7" s="93" t="s">
        <v>136</v>
      </c>
      <c r="C7" s="94">
        <v>65</v>
      </c>
      <c r="D7" s="95" t="s">
        <v>137</v>
      </c>
      <c r="E7" s="94">
        <f>C7/14</f>
        <v>4.6428571428571432</v>
      </c>
      <c r="F7" s="94">
        <f>C7/14.5</f>
        <v>4.4827586206896548</v>
      </c>
      <c r="G7" s="94">
        <f>C7/15</f>
        <v>4.333333333333333</v>
      </c>
      <c r="H7" s="96">
        <v>10</v>
      </c>
      <c r="I7" s="94">
        <f>H7-F7</f>
        <v>5.5172413793103452</v>
      </c>
      <c r="J7" s="97">
        <v>10</v>
      </c>
      <c r="K7" s="94">
        <f>J7-F7</f>
        <v>5.5172413793103452</v>
      </c>
      <c r="L7" s="98">
        <f>K7/J7</f>
        <v>0.55172413793103448</v>
      </c>
      <c r="M7" s="93" t="s">
        <v>138</v>
      </c>
    </row>
    <row r="8" spans="1:13">
      <c r="A8" s="95">
        <v>4</v>
      </c>
      <c r="B8" s="93" t="s">
        <v>139</v>
      </c>
      <c r="C8" s="94">
        <v>65</v>
      </c>
      <c r="D8" s="95" t="s">
        <v>137</v>
      </c>
      <c r="E8" s="94">
        <f>C8/14</f>
        <v>4.6428571428571432</v>
      </c>
      <c r="F8" s="94">
        <f>C8/14.5</f>
        <v>4.4827586206896548</v>
      </c>
      <c r="G8" s="94">
        <f>C8/15</f>
        <v>4.333333333333333</v>
      </c>
      <c r="H8" s="96">
        <v>10</v>
      </c>
      <c r="I8" s="94">
        <f>H8-F8</f>
        <v>5.5172413793103452</v>
      </c>
      <c r="J8" s="97">
        <v>10</v>
      </c>
      <c r="K8" s="94">
        <f>J8-F8</f>
        <v>5.5172413793103452</v>
      </c>
      <c r="L8" s="98">
        <f>K8/J8</f>
        <v>0.55172413793103448</v>
      </c>
      <c r="M8" s="93" t="s">
        <v>138</v>
      </c>
    </row>
    <row r="9" spans="1:13">
      <c r="A9" s="99">
        <v>5</v>
      </c>
      <c r="B9" s="93" t="s">
        <v>55</v>
      </c>
      <c r="C9" s="94">
        <v>70</v>
      </c>
      <c r="D9" s="95" t="s">
        <v>140</v>
      </c>
      <c r="E9" s="94">
        <f>C9/11</f>
        <v>6.3636363636363633</v>
      </c>
      <c r="F9" s="94">
        <f>C9/11</f>
        <v>6.3636363636363633</v>
      </c>
      <c r="G9" s="94">
        <f>C9/11</f>
        <v>6.3636363636363633</v>
      </c>
      <c r="H9" s="96">
        <v>10</v>
      </c>
      <c r="I9" s="94">
        <f>H9-F9</f>
        <v>3.6363636363636367</v>
      </c>
      <c r="J9" s="97">
        <v>12</v>
      </c>
      <c r="K9" s="94">
        <f>J9-F9</f>
        <v>5.6363636363636367</v>
      </c>
      <c r="L9" s="98">
        <f>K9/J9</f>
        <v>0.46969696969696972</v>
      </c>
      <c r="M9" s="93" t="s">
        <v>141</v>
      </c>
    </row>
    <row r="10" spans="1:13">
      <c r="A10" s="95">
        <v>6</v>
      </c>
      <c r="B10" s="93" t="s">
        <v>74</v>
      </c>
      <c r="C10" s="94">
        <v>75</v>
      </c>
      <c r="D10" s="95" t="s">
        <v>142</v>
      </c>
      <c r="E10" s="94">
        <f>C10/12</f>
        <v>6.25</v>
      </c>
      <c r="F10" s="94">
        <f>C10/12</f>
        <v>6.25</v>
      </c>
      <c r="G10" s="94">
        <f>C10/12</f>
        <v>6.25</v>
      </c>
      <c r="H10" s="96">
        <v>10</v>
      </c>
      <c r="I10" s="94">
        <f>H10-F10</f>
        <v>3.75</v>
      </c>
      <c r="J10" s="97">
        <v>12</v>
      </c>
      <c r="K10" s="94">
        <f>J10-F10</f>
        <v>5.75</v>
      </c>
      <c r="L10" s="98">
        <f>K10/J10</f>
        <v>0.47916666666666669</v>
      </c>
      <c r="M10" s="93" t="s">
        <v>143</v>
      </c>
    </row>
    <row r="11" spans="1:13">
      <c r="A11" s="92">
        <v>7</v>
      </c>
      <c r="B11" s="93" t="s">
        <v>71</v>
      </c>
      <c r="C11" s="94">
        <v>85</v>
      </c>
      <c r="D11" s="95" t="s">
        <v>144</v>
      </c>
      <c r="E11" s="94">
        <f>C11/14</f>
        <v>6.0714285714285712</v>
      </c>
      <c r="F11" s="94">
        <f>C11/14</f>
        <v>6.0714285714285712</v>
      </c>
      <c r="G11" s="94">
        <f>C11/14</f>
        <v>6.0714285714285712</v>
      </c>
      <c r="H11" s="96">
        <v>10</v>
      </c>
      <c r="I11" s="94">
        <f>H11-F11</f>
        <v>3.9285714285714288</v>
      </c>
      <c r="J11" s="97">
        <v>12</v>
      </c>
      <c r="K11" s="94">
        <f>J11-F11</f>
        <v>5.9285714285714288</v>
      </c>
      <c r="L11" s="98">
        <f>K11/J11</f>
        <v>0.49404761904761907</v>
      </c>
      <c r="M11" s="93" t="s">
        <v>145</v>
      </c>
    </row>
    <row r="12" spans="1:13">
      <c r="A12" s="100">
        <v>8</v>
      </c>
      <c r="B12" s="93" t="s">
        <v>146</v>
      </c>
      <c r="C12" s="94">
        <v>150</v>
      </c>
      <c r="D12" s="95" t="s">
        <v>140</v>
      </c>
      <c r="E12" s="94">
        <f>C12/11</f>
        <v>13.636363636363637</v>
      </c>
      <c r="F12" s="94">
        <f>C12/11</f>
        <v>13.636363636363637</v>
      </c>
      <c r="G12" s="94">
        <f>C12/11</f>
        <v>13.636363636363637</v>
      </c>
      <c r="H12" s="96" t="s">
        <v>80</v>
      </c>
      <c r="I12" s="94" t="s">
        <v>80</v>
      </c>
      <c r="J12" s="97">
        <v>25</v>
      </c>
      <c r="K12" s="94">
        <f>J12-F12</f>
        <v>11.363636363636363</v>
      </c>
      <c r="L12" s="98">
        <f>K12/J12</f>
        <v>0.45454545454545453</v>
      </c>
      <c r="M12" s="93" t="s">
        <v>147</v>
      </c>
    </row>
    <row r="13" spans="1:13">
      <c r="A13" s="100">
        <v>9</v>
      </c>
      <c r="B13" s="93" t="s">
        <v>148</v>
      </c>
      <c r="C13" s="94">
        <v>60</v>
      </c>
      <c r="D13" s="95" t="s">
        <v>149</v>
      </c>
      <c r="E13" s="94">
        <f>C13/22</f>
        <v>2.7272727272727271</v>
      </c>
      <c r="F13" s="94">
        <f>C13/22.5</f>
        <v>2.6666666666666665</v>
      </c>
      <c r="G13" s="94">
        <f>C13/23</f>
        <v>2.6086956521739131</v>
      </c>
      <c r="H13" s="96">
        <v>10</v>
      </c>
      <c r="I13" s="94">
        <f>H13-F13</f>
        <v>7.3333333333333339</v>
      </c>
      <c r="J13" s="97">
        <v>10</v>
      </c>
      <c r="K13" s="94">
        <f>J13-F13</f>
        <v>7.3333333333333339</v>
      </c>
      <c r="L13" s="98">
        <f>K13/J13</f>
        <v>0.73333333333333339</v>
      </c>
      <c r="M13" s="9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แคตตาล็อก_สาขา2-3-4</vt:lpstr>
      <vt:lpstr>แคตตาล็อก_สาขา1</vt:lpstr>
      <vt:lpstr>ต้นทุนและราคาขาย_ทุกสินค้า</vt:lpstr>
      <vt:lpstr>จุดคุ้มทุน 4 สาขา</vt:lpstr>
      <vt:lpstr>คำนวณต้นทุนการผลิตจริง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POORIN MEESUPPAWONG</dc:creator>
  <cp:lastModifiedBy>POORIN MEESUPPAWONG</cp:lastModifiedBy>
  <dcterms:created xsi:type="dcterms:W3CDTF">2026-09-22T07:52:35Z</dcterms:created>
  <dcterms:modified xsi:type="dcterms:W3CDTF">2026-09-23T06:28:34Z</dcterms:modified>
</cp:coreProperties>
</file>